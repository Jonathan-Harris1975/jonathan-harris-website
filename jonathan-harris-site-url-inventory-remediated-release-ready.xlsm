
<file path=[Content_Types].xml><?xml version="1.0" encoding="utf-8"?>
<Types xmlns="http://schemas.openxmlformats.org/package/2006/content-types">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extended-properties+xml" PartName="/docProps/app.xml"/>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Ebook Source of Truth" sheetId="1" r:id="rId5"/>
    <sheet state="visible" name="Pages" sheetId="2" r:id="rId6"/>
    <sheet state="visible" name="Summary" sheetId="3" r:id="rId7"/>
    <sheet state="visible" name="BuyNow Redirects" sheetId="4" r:id="rId8"/>
    <sheet state="visible" name="Ebooks Master" sheetId="5" r:id="rId9"/>
  </sheets>
  <definedNames/>
  <calcPr/>
</workbook>
</file>

<file path=xl/sharedStrings.xml><?xml version="1.0" encoding="utf-8"?>
<sst xmlns="http://schemas.openxmlformats.org/spreadsheetml/2006/main" count="1651" uniqueCount="1060">
  <si>
    <t>Ebook source-of-truth rules</t>
  </si>
  <si>
    <t>Workbook status</t>
  </si>
  <si>
    <t>This workbook is the canonical metadata source for the ebook catalogue.</t>
  </si>
  <si>
    <t>Canonical sheet</t>
  </si>
  <si>
    <t>Ebooks Master</t>
  </si>
  <si>
    <t>Title rule</t>
  </si>
  <si>
    <t>The Title column is the canonical ebook title to use across manuscript front matter, listings, and website copy.</t>
  </si>
  <si>
    <t>Manuscript drift tracking</t>
  </si>
  <si>
    <t>Ebooks Master includes manuscript filename, observed manuscript title, and title alignment status for each book.</t>
  </si>
  <si>
    <t>Page-count rule</t>
  </si>
  <si>
    <t>Amazon ebook page count is marketplace-defined. It may differ from the manuscript PDF page count and is treated as the canonical marketplace count here.</t>
  </si>
  <si>
    <t>Operational sheets</t>
  </si>
  <si>
    <t>BuyNow Redirects and Pages remain operational views. Their page-count headers have been clarified to mean Amazon ebook page count.</t>
  </si>
  <si>
    <t>Updated on</t>
  </si>
  <si>
    <t>2026-03-21</t>
  </si>
  <si>
    <t>Base domain</t>
  </si>
  <si>
    <t>https://jonathan-harris.online</t>
  </si>
  <si>
    <t>Generated from</t>
  </si>
  <si>
    <t>Checked against repo HTML + _redirects buy-now mapping + workbook BuyNow Redirects/Ebooks Master metadata</t>
  </si>
  <si>
    <t>Generated on</t>
  </si>
  <si>
    <t>2026-03-22</t>
  </si>
  <si>
    <t>Relative file path</t>
  </si>
  <si>
    <t>Public URL path</t>
  </si>
  <si>
    <t>Full URL</t>
  </si>
  <si>
    <t>Page title</t>
  </si>
  <si>
    <t>URL type</t>
  </si>
  <si>
    <t>Buy now URL</t>
  </si>
  <si>
    <t>Redirect URL</t>
  </si>
  <si>
    <t>Notes</t>
  </si>
  <si>
    <t>ASIN</t>
  </si>
  <si>
    <t>Amazon ebook page count</t>
  </si>
  <si>
    <t>Publication date</t>
  </si>
  <si>
    <t>Cover art URL</t>
  </si>
  <si>
    <t>index.html</t>
  </si>
  <si>
    <t>/</t>
  </si>
  <si>
    <t>Jonathan Harris — AI Author &amp; Podcast Host</t>
  </si>
  <si>
    <t>Standard page route</t>
  </si>
  <si>
    <t>404.html</t>
  </si>
  <si>
    <t>/404</t>
  </si>
  <si>
    <t>Page Not Found | Jonathan Harris</t>
  </si>
  <si>
    <t>affiliate/index.html</t>
  </si>
  <si>
    <t>/affiliate/</t>
  </si>
  <si>
    <t>Affiliate Partners | Jonathan Harris</t>
  </si>
  <si>
    <t>topics/ai-for-beginners/index.html</t>
  </si>
  <si>
    <t>/topics/ai-for-beginners/</t>
  </si>
  <si>
    <t>AI for Beginners | Jonathan Harris</t>
  </si>
  <si>
    <t>topics/ai-in-business/index.html</t>
  </si>
  <si>
    <t>/topics/ai-in-business/</t>
  </si>
  <si>
    <t>AI in Business | Jonathan Harris</t>
  </si>
  <si>
    <t>topics/ai-in-healthcare/index.html</t>
  </si>
  <si>
    <t>/topics/ai-in-healthcare/</t>
  </si>
  <si>
    <t>AI in Healthcare | Jonathan Harris</t>
  </si>
  <si>
    <t>api/docs/index.html</t>
  </si>
  <si>
    <t>/api/docs/</t>
  </si>
  <si>
    <t>API Docs | Jonathan Harris</t>
  </si>
  <si>
    <t>bio/index.html</t>
  </si>
  <si>
    <t>/bio/</t>
  </si>
  <si>
    <t>Jonathan Harris — AI Author, Podcast Host &amp; Writer of 36 Plain-English AI Books</t>
  </si>
  <si>
    <t>blog/index.html</t>
  </si>
  <si>
    <t>/blog/</t>
  </si>
  <si>
    <t>AI Blog | Jonathan Harris</t>
  </si>
  <si>
    <t>blog/weekly/index.html</t>
  </si>
  <si>
    <t>/blog/weekly/</t>
  </si>
  <si>
    <t>Weekly AI Briefing Route | Jonathan Harris</t>
  </si>
  <si>
    <t>catalogue/agriculture/index.html</t>
  </si>
  <si>
    <t>/catalogue/agriculture/</t>
  </si>
  <si>
    <t>Agriculture AI Books | Jonathan Harris</t>
  </si>
  <si>
    <t>catalogue/artificial-intelligence/index.html</t>
  </si>
  <si>
    <t>/catalogue/artificial-intelligence/</t>
  </si>
  <si>
    <t>Artificial Intelligence AI Books | Jonathan Harris</t>
  </si>
  <si>
    <t>catalogue/construction/index.html</t>
  </si>
  <si>
    <t>/catalogue/construction/</t>
  </si>
  <si>
    <t>Construction AI Books | Jonathan Harris</t>
  </si>
  <si>
    <t>catalogue/creativity/index.html</t>
  </si>
  <si>
    <t>/catalogue/creativity/</t>
  </si>
  <si>
    <t>Creativity AI Books | Jonathan Harris</t>
  </si>
  <si>
    <t>catalogue/cyber-security/index.html</t>
  </si>
  <si>
    <t>/catalogue/cyber-security/</t>
  </si>
  <si>
    <t>Cyber Security AI Books | Jonathan Harris</t>
  </si>
  <si>
    <t>catalogue/defence/index.html</t>
  </si>
  <si>
    <t>/catalogue/defence/</t>
  </si>
  <si>
    <t>Defence AI Books | Jonathan Harris</t>
  </si>
  <si>
    <t>catalogue/education/index.html</t>
  </si>
  <si>
    <t>/catalogue/education/</t>
  </si>
  <si>
    <t>Education AI Books | Jonathan Harris</t>
  </si>
  <si>
    <t>catalogue/energy/index.html</t>
  </si>
  <si>
    <t>/catalogue/energy/</t>
  </si>
  <si>
    <t>Energy AI Books | Jonathan Harris</t>
  </si>
  <si>
    <t>catalogue/environment/index.html</t>
  </si>
  <si>
    <t>/catalogue/environment/</t>
  </si>
  <si>
    <t>Environment AI Books | Jonathan Harris</t>
  </si>
  <si>
    <t>catalogue/ethics/index.html</t>
  </si>
  <si>
    <t>/catalogue/ethics/</t>
  </si>
  <si>
    <t>Ethics AI Books | Jonathan Harris</t>
  </si>
  <si>
    <t>catalogue/finance/index.html</t>
  </si>
  <si>
    <t>/catalogue/finance/</t>
  </si>
  <si>
    <t>Finance AI Books | Jonathan Harris</t>
  </si>
  <si>
    <t>catalogue/future-of-work/index.html</t>
  </si>
  <si>
    <t>/catalogue/future-of-work/</t>
  </si>
  <si>
    <t>Future of Work AI Books | Jonathan Harris</t>
  </si>
  <si>
    <t>catalogue/gaming/index.html</t>
  </si>
  <si>
    <t>/catalogue/gaming/</t>
  </si>
  <si>
    <t>Gaming AI Books | Jonathan Harris</t>
  </si>
  <si>
    <t>catalogue/government/index.html</t>
  </si>
  <si>
    <t>/catalogue/government/</t>
  </si>
  <si>
    <t>Government AI Books | Jonathan Harris</t>
  </si>
  <si>
    <t>catalogue/healthcare/index.html</t>
  </si>
  <si>
    <t>/catalogue/healthcare/</t>
  </si>
  <si>
    <t>Healthcare AI Books | Jonathan Harris</t>
  </si>
  <si>
    <t>catalogue/history/index.html</t>
  </si>
  <si>
    <t>/catalogue/history/</t>
  </si>
  <si>
    <t>History AI Books | Jonathan Harris</t>
  </si>
  <si>
    <t>catalogue/industry/index.html</t>
  </si>
  <si>
    <t>/catalogue/industry/</t>
  </si>
  <si>
    <t>Industry AI Books | Jonathan Harris</t>
  </si>
  <si>
    <t>catalogue/law/index.html</t>
  </si>
  <si>
    <t>/catalogue/law/</t>
  </si>
  <si>
    <t>Law AI Books | Jonathan Harris</t>
  </si>
  <si>
    <t>catalogue/manufacturing/index.html</t>
  </si>
  <si>
    <t>/catalogue/manufacturing/</t>
  </si>
  <si>
    <t>Manufacturing AI Books | Jonathan Harris</t>
  </si>
  <si>
    <t>catalogue/media/index.html</t>
  </si>
  <si>
    <t>/catalogue/media/</t>
  </si>
  <si>
    <t>Media AI Books | Jonathan Harris</t>
  </si>
  <si>
    <t>catalogue/retail/index.html</t>
  </si>
  <si>
    <t>/catalogue/retail/</t>
  </si>
  <si>
    <t>Retail AI Books | Jonathan Harris</t>
  </si>
  <si>
    <t>catalogue/science/index.html</t>
  </si>
  <si>
    <t>/catalogue/science/</t>
  </si>
  <si>
    <t>Science AI Books | Jonathan Harris</t>
  </si>
  <si>
    <t>catalogue/sports/index.html</t>
  </si>
  <si>
    <t>/catalogue/sports/</t>
  </si>
  <si>
    <t>Sports AI Books | Jonathan Harris</t>
  </si>
  <si>
    <t>catalogue/transportation/index.html</t>
  </si>
  <si>
    <t>/catalogue/transportation/</t>
  </si>
  <si>
    <t>Transportation AI Books | Jonathan Harris</t>
  </si>
  <si>
    <t>compare/index.html</t>
  </si>
  <si>
    <t>/compare/</t>
  </si>
  <si>
    <t>AI Topic Comparisons | Jonathan Harris</t>
  </si>
  <si>
    <t>contact/index.html</t>
  </si>
  <si>
    <t>/contact/</t>
  </si>
  <si>
    <t>Get in Touch | Jonathan Harris</t>
  </si>
  <si>
    <t>ebooks/index.html</t>
  </si>
  <si>
    <t>/ebooks/</t>
  </si>
  <si>
    <t>AI eBooks Catalogue | Jonathan Harris</t>
  </si>
  <si>
    <t>ebooks/ai-and-formula-1-redefining-speed-and-strategy-with-intelligent-technology/index.html</t>
  </si>
  <si>
    <t>/ebooks/ai-and-formula-1-redefining-speed-and-strategy-with-intelligent-technology/</t>
  </si>
  <si>
    <t>AI and Formula 1 | Jonathan Harris</t>
  </si>
  <si>
    <t>Canonical ebook route</t>
  </si>
  <si>
    <t>https://jonathan-harris.online/ebooks/ai-and-formula-1-redefining-speed-and-strategy-with-intelligent-technology/buy-now</t>
  </si>
  <si>
    <t>https://mybook.to/Gi93rOF</t>
  </si>
  <si>
    <t>ebooks/ai-in-agriculture-revolutionizing-farming-for-a-sustainable-future/index.html</t>
  </si>
  <si>
    <t>/ebooks/ai-in-agriculture-revolutionizing-farming-for-a-sustainable-future/</t>
  </si>
  <si>
    <t>AI in Agriculture | Jonathan Harris</t>
  </si>
  <si>
    <t>https://jonathan-harris.online/ebooks/ai-in-agriculture-revolutionizing-farming-for-a-sustainable-future/buy-now</t>
  </si>
  <si>
    <t>https://mybook.to/PsciMD5</t>
  </si>
  <si>
    <t>ebooks/ai-in-aviation-transforming-safety-and-sustainability/index.html</t>
  </si>
  <si>
    <t>/ebooks/ai-in-aviation-transforming-safety-and-sustainability/</t>
  </si>
  <si>
    <t>AI in Aviation | Jonathan Harris</t>
  </si>
  <si>
    <t>https://jonathan-harris.online/ebooks/ai-in-aviation-transforming-safety-and-sustainability/buy-now</t>
  </si>
  <si>
    <t>https://mybook.to/13VF</t>
  </si>
  <si>
    <t>ebooks/ai-in-education-reimagining-learning-for-every-student/index.html</t>
  </si>
  <si>
    <t>/ebooks/ai-in-education-reimagining-learning-for-every-student/</t>
  </si>
  <si>
    <t>AI in Education | Jonathan Harris</t>
  </si>
  <si>
    <t>https://jonathan-harris.online/ebooks/ai-in-education-reimagining-learning-for-every-student/buy-now</t>
  </si>
  <si>
    <t>https://mybook.to/Ldhe41</t>
  </si>
  <si>
    <t>ebooks/ai-in-maritime-revolutionizing-shipping-for-sustainability/index.html</t>
  </si>
  <si>
    <t>/ebooks/ai-in-maritime-revolutionizing-shipping-for-sustainability/</t>
  </si>
  <si>
    <t>AI in Maritime | Jonathan Harris</t>
  </si>
  <si>
    <t>https://jonathan-harris.online/ebooks/ai-in-maritime-revolutionizing-shipping-for-sustainability/buy-now</t>
  </si>
  <si>
    <t>https://mybook.to/yANzV8</t>
  </si>
  <si>
    <t>ebooks/ai-powered-smart-grid-revolutionizing-electricity-distribution-and-generation/index.html</t>
  </si>
  <si>
    <t>/ebooks/ai-powered-smart-grid-revolutionizing-electricity-distribution-and-generation/</t>
  </si>
  <si>
    <t>AI-Powered Smart Grid | Jonathan Harris</t>
  </si>
  <si>
    <t>https://jonathan-harris.online/ebooks/ai-powered-smart-grid-revolutionizing-electricity-distribution-and-generation/buy-now</t>
  </si>
  <si>
    <t>https://mybook.to/sntL</t>
  </si>
  <si>
    <t>ebooks/ai-revolution-in-railways-modernizing-travel-for-a-smarter-future/index.html</t>
  </si>
  <si>
    <t>/ebooks/ai-revolution-in-railways-modernizing-travel-for-a-smarter-future/</t>
  </si>
  <si>
    <t>AI Revolution in Railways | Jonathan Harris</t>
  </si>
  <si>
    <t>https://jonathan-harris.online/ebooks/ai-revolution-in-railways-modernizing-travel-for-a-smarter-future/buy-now</t>
  </si>
  <si>
    <t>https://mybook.to/JkJfDp</t>
  </si>
  <si>
    <t>ebooks/artificial-intelligence-and-the-law-case-studies-and-future-trends/index.html</t>
  </si>
  <si>
    <t>/ebooks/artificial-intelligence-and-the-law-case-studies-and-future-trends/</t>
  </si>
  <si>
    <t>AI and the Law | Jonathan Harris</t>
  </si>
  <si>
    <t>https://jonathan-harris.online/ebooks/artificial-intelligence-and-the-law-case-studies-and-future-trends/buy-now</t>
  </si>
  <si>
    <t>https://mybook.to/bWpjeB</t>
  </si>
  <si>
    <t>ebooks/artificial-intelligence-for-cyber-security-a-practical-guide-to-data-breach-prevention/index.html</t>
  </si>
  <si>
    <t>/ebooks/artificial-intelligence-for-cyber-security-a-practical-guide-to-data-breach-prevention/</t>
  </si>
  <si>
    <t>AI for Cyber Security | Jonathan Harris</t>
  </si>
  <si>
    <t>https://jonathan-harris.online/ebooks/artificial-intelligence-for-cyber-security-a-practical-guide-to-data-breach-prevention/buy-now</t>
  </si>
  <si>
    <t>https://mybook.to/9Wvf</t>
  </si>
  <si>
    <t>ebooks/artificial-intelligence-for-wildlife-conservation-revolutionizing-biodiversity-protection-through-technology/index.html</t>
  </si>
  <si>
    <t>/ebooks/artificial-intelligence-for-wildlife-conservation-revolutionizing-biodiversity-protection-through-technology/</t>
  </si>
  <si>
    <t>AI for Wildlife Conservation | Jonathan Harris</t>
  </si>
  <si>
    <t>https://jonathan-harris.online/ebooks/artificial-intelligence-for-wildlife-conservation-revolutionizing-biodiversity-protection-through-technology/buy-now</t>
  </si>
  <si>
    <t>https://mybook.to/94Q3</t>
  </si>
  <si>
    <t>ebooks/artificial-intelligence-in-banking-revolutionizing-finance-and-data-security/index.html</t>
  </si>
  <si>
    <t>/ebooks/artificial-intelligence-in-banking-revolutionizing-finance-and-data-security/</t>
  </si>
  <si>
    <t>AI in Banking | Jonathan Harris</t>
  </si>
  <si>
    <t>https://jonathan-harris.online/ebooks/artificial-intelligence-in-banking-revolutionizing-finance-and-data-security/buy-now</t>
  </si>
  <si>
    <t>https://mybook.to/8VjT</t>
  </si>
  <si>
    <t>ebooks/artificial-intelligence-in-construction-building-a-sustainable-future/index.html</t>
  </si>
  <si>
    <t>/ebooks/artificial-intelligence-in-construction-building-a-sustainable-future/</t>
  </si>
  <si>
    <t>AI in Construction | Jonathan Harris</t>
  </si>
  <si>
    <t>https://jonathan-harris.online/ebooks/artificial-intelligence-in-construction-building-a-sustainable-future/buy-now</t>
  </si>
  <si>
    <t>https://mybook.to/v98RD</t>
  </si>
  <si>
    <t>ebooks/artificial-intelligence-in-industry-a-comprehensive-guide/index.html</t>
  </si>
  <si>
    <t>/ebooks/artificial-intelligence-in-industry-a-comprehensive-guide/</t>
  </si>
  <si>
    <t>AI in Industry | Jonathan Harris</t>
  </si>
  <si>
    <t>https://jonathan-harris.online/ebooks/artificial-intelligence-in-industry-a-comprehensive-guide/buy-now</t>
  </si>
  <si>
    <t>https://mybook.to/t2Au28</t>
  </si>
  <si>
    <t>ebooks/artificial-intelligence-in-logistics-optimizing-efficiency-and-sustainability/index.html</t>
  </si>
  <si>
    <t>/ebooks/artificial-intelligence-in-logistics-optimizing-efficiency-and-sustainability/</t>
  </si>
  <si>
    <t>AI in Logistics | Jonathan Harris</t>
  </si>
  <si>
    <t>https://jonathan-harris.online/ebooks/artificial-intelligence-in-logistics-optimizing-efficiency-and-sustainability/buy-now</t>
  </si>
  <si>
    <t>https://mybook.to/zSKnSW</t>
  </si>
  <si>
    <t>ebooks/artificial-intelligence-in-pharmaceuticals-revolutionizing-healthcare/index.html</t>
  </si>
  <si>
    <t>/ebooks/artificial-intelligence-in-pharmaceuticals-revolutionizing-healthcare/</t>
  </si>
  <si>
    <t>AI in Pharmaceuticals | Jonathan Harris</t>
  </si>
  <si>
    <t>https://jonathan-harris.online/ebooks/artificial-intelligence-in-pharmaceuticals-revolutionizing-healthcare/buy-now</t>
  </si>
  <si>
    <t>https://mybook.to/3cA8</t>
  </si>
  <si>
    <t>ebooks/artificial-intelligence-in-sports-revolutionizing-performance-and-fan-engagement/index.html</t>
  </si>
  <si>
    <t>/ebooks/artificial-intelligence-in-sports-revolutionizing-performance-and-fan-engagement/</t>
  </si>
  <si>
    <t>AI in Sports | Jonathan Harris</t>
  </si>
  <si>
    <t>https://jonathan-harris.online/ebooks/artificial-intelligence-in-sports-revolutionizing-performance-and-fan-engagement/buy-now</t>
  </si>
  <si>
    <t>https://mybook.to/73M1</t>
  </si>
  <si>
    <t>ebooks/artificial-intelligence-in-veterinary-medicine-transforming-animal-healthcare-through-innovation/index.html</t>
  </si>
  <si>
    <t>/ebooks/artificial-intelligence-in-veterinary-medicine-transforming-animal-healthcare-through-innovation/</t>
  </si>
  <si>
    <t>AI in Veterinary Medicine | Jonathan Harris</t>
  </si>
  <si>
    <t>https://jonathan-harris.online/ebooks/artificial-intelligence-in-veterinary-medicine-transforming-animal-healthcare-through-innovation/buy-now</t>
  </si>
  <si>
    <t>https://mybook.to/SOjUE</t>
  </si>
  <si>
    <t>ebooks/artificial-intelligence-powered-retail-revolutionizing-customer-experience-for-a-sustainable-future/index.html</t>
  </si>
  <si>
    <t>/ebooks/artificial-intelligence-powered-retail-revolutionizing-customer-experience-for-a-sustainable-future/</t>
  </si>
  <si>
    <t>AI-Powered Retail | Jonathan Harris</t>
  </si>
  <si>
    <t>https://jonathan-harris.online/ebooks/artificial-intelligence-powered-retail-revolutionizing-customer-experience-for-a-sustainable-future/buy-now</t>
  </si>
  <si>
    <t>https://mybook.to/POYR</t>
  </si>
  <si>
    <t>ebooks/artificial-intelligence-revolution-in-manufacturing-modernizing-operations-maintenance-and-service-delivery/index.html</t>
  </si>
  <si>
    <t>/ebooks/artificial-intelligence-revolution-in-manufacturing-modernizing-operations-maintenance-and-service-delivery/</t>
  </si>
  <si>
    <t>AI Revolution in Manufacturing | Jonathan Harris</t>
  </si>
  <si>
    <t>https://jonathan-harris.online/ebooks/artificial-intelligence-revolution-in-manufacturing-modernizing-operations-maintenance-and-service-delivery/buy-now</t>
  </si>
  <si>
    <t>https://mybook.to/SOAEb</t>
  </si>
  <si>
    <t>ebooks/beyond-earth-how-ai-is-transforming-space-exploration/index.html</t>
  </si>
  <si>
    <t>/ebooks/beyond-earth-how-ai-is-transforming-space-exploration/</t>
  </si>
  <si>
    <t>Beyond Earth: AI in Space | Jonathan Harris</t>
  </si>
  <si>
    <t>https://jonathan-harris.online/ebooks/beyond-earth-how-ai-is-transforming-space-exploration/buy-now</t>
  </si>
  <si>
    <t>https://mybook.to/iY9m</t>
  </si>
  <si>
    <t>ebooks/climate-intelligence-harnessing-ai-for-a-greener-future/index.html</t>
  </si>
  <si>
    <t>/ebooks/climate-intelligence-harnessing-ai-for-a-greener-future/</t>
  </si>
  <si>
    <t>Climate Intelligence | Jonathan Harris</t>
  </si>
  <si>
    <t>https://jonathan-harris.online/ebooks/climate-intelligence-harnessing-ai-for-a-greener-future/buy-now</t>
  </si>
  <si>
    <t>https://mybook.to/aKj8Fh</t>
  </si>
  <si>
    <t>ebooks/digital-defense-the-role-of-ai-in-modern-warfare/index.html</t>
  </si>
  <si>
    <t>/ebooks/digital-defense-the-role-of-ai-in-modern-warfare/</t>
  </si>
  <si>
    <t>Digital Defense and AI | Jonathan Harris</t>
  </si>
  <si>
    <t>https://jonathan-harris.online/ebooks/digital-defense-the-role-of-ai-in-modern-warfare/buy-now</t>
  </si>
  <si>
    <t>https://mybook.to/digitaldefense</t>
  </si>
  <si>
    <t>ebooks/digital-diagnosis-how-ai-is-revolutionizing-healthcare/index.html</t>
  </si>
  <si>
    <t>/ebooks/digital-diagnosis-how-ai-is-revolutionizing-healthcare/</t>
  </si>
  <si>
    <t>Digital Diagnosis | Jonathan Harris</t>
  </si>
  <si>
    <t>https://jonathan-harris.online/ebooks/digital-diagnosis-how-ai-is-revolutionizing-healthcare/buy-now</t>
  </si>
  <si>
    <t>https://mybook.to/hrnKOD</t>
  </si>
  <si>
    <t>ebooks/from-reporters-to-robots-how-ai-is-reshaping-journalism/index.html</t>
  </si>
  <si>
    <t>/ebooks/from-reporters-to-robots-how-ai-is-reshaping-journalism/</t>
  </si>
  <si>
    <t>From Reporters to Robots | Jonathan Harris</t>
  </si>
  <si>
    <t>https://jonathan-harris.online/ebooks/from-reporters-to-robots-how-ai-is-reshaping-journalism/buy-now</t>
  </si>
  <si>
    <t>https://mybook.to/DWfAK</t>
  </si>
  <si>
    <t>ebooks/game-ai-unleashed-from-finite-state-machines-to-machine-learning/index.html</t>
  </si>
  <si>
    <t>/ebooks/game-ai-unleashed-from-finite-state-machines-to-machine-learning/</t>
  </si>
  <si>
    <t>Game AI Unleashed | Jonathan Harris</t>
  </si>
  <si>
    <t>https://jonathan-harris.online/ebooks/game-ai-unleashed-from-finite-state-machines-to-machine-learning/buy-now</t>
  </si>
  <si>
    <t>https://mybook.to/e7GozY6</t>
  </si>
  <si>
    <t>ebooks/lights-camera-algorithm-ai-s-role-in-modern-filmmaking/index.html</t>
  </si>
  <si>
    <t>/ebooks/lights-camera-algorithm-ai-s-role-in-modern-filmmaking/</t>
  </si>
  <si>
    <t>Lights, Camera, Algorithm | Jonathan Harris</t>
  </si>
  <si>
    <t>https://jonathan-harris.online/ebooks/lights-camera-algorithm-ai-s-role-in-modern-filmmaking/buy-now</t>
  </si>
  <si>
    <t>https://mybook.to/EcO2DI</t>
  </si>
  <si>
    <t>ebooks/smart-buildings-ai-powered-efficiency-and-sustainability/index.html</t>
  </si>
  <si>
    <t>/ebooks/smart-buildings-ai-powered-efficiency-and-sustainability/</t>
  </si>
  <si>
    <t>Smart Buildings and AI | Jonathan Harris</t>
  </si>
  <si>
    <t>https://jonathan-harris.online/ebooks/smart-buildings-ai-powered-efficiency-and-sustainability/buy-now</t>
  </si>
  <si>
    <t>https://mybook.to/QEcdy</t>
  </si>
  <si>
    <t>ebooks/the-ai-behind-your-feed-personalization-moderation-and-the-future-of-social-media/index.html</t>
  </si>
  <si>
    <t>/ebooks/the-ai-behind-your-feed-personalization-moderation-and-the-future-of-social-media/</t>
  </si>
  <si>
    <t>The AI Behind Your Feed | Jonathan Harris</t>
  </si>
  <si>
    <t>https://jonathan-harris.online/ebooks/the-ai-behind-your-feed-personalization-moderation-and-the-future-of-social-media/buy-now</t>
  </si>
  <si>
    <t>https://mybook.to/rNRr</t>
  </si>
  <si>
    <t>ebooks/the-ai-music-revolution-creativity-controversy-and-collaboration/index.html</t>
  </si>
  <si>
    <t>/ebooks/the-ai-music-revolution-creativity-controversy-and-collaboration/</t>
  </si>
  <si>
    <t>The AI Music Revolution | Jonathan Harris</t>
  </si>
  <si>
    <t>https://jonathan-harris.online/ebooks/the-ai-music-revolution-creativity-controversy-and-collaboration/buy-now</t>
  </si>
  <si>
    <t>https://mybook.to/Io32sC3</t>
  </si>
  <si>
    <t>ebooks/the-architects-of-ai-pioneers-breakthroughs-and-the-road-ahead/index.html</t>
  </si>
  <si>
    <t>/ebooks/the-architects-of-ai-pioneers-breakthroughs-and-the-road-ahead/</t>
  </si>
  <si>
    <t>The Architects of AI | Jonathan Harris</t>
  </si>
  <si>
    <t>https://jonathan-harris.online/ebooks/the-architects-of-ai-pioneers-breakthroughs-and-the-road-ahead/buy-now</t>
  </si>
  <si>
    <t>https://mybook.to/qFAI</t>
  </si>
  <si>
    <t>ebooks/the-artificial-intelligence-job-shift-navigating-the-future-of-work/index.html</t>
  </si>
  <si>
    <t>/ebooks/the-artificial-intelligence-job-shift-navigating-the-future-of-work/</t>
  </si>
  <si>
    <t>The AI Job Shift | Jonathan Harris</t>
  </si>
  <si>
    <t>https://jonathan-harris.online/ebooks/the-artificial-intelligence-job-shift-navigating-the-future-of-work/buy-now</t>
  </si>
  <si>
    <t>https://mybook.to/aijobshift</t>
  </si>
  <si>
    <t>ebooks/the-artificial-intelligence-revolution-from-algorithms-to-consciousness/index.html</t>
  </si>
  <si>
    <t>/ebooks/the-artificial-intelligence-revolution-from-algorithms-to-consciousness/</t>
  </si>
  <si>
    <t>The AI Revolution | Jonathan Harris</t>
  </si>
  <si>
    <t>https://jonathan-harris.online/ebooks/the-artificial-intelligence-revolution-from-algorithms-to-consciousness/buy-now</t>
  </si>
  <si>
    <t>https://mybook.to/YYLW</t>
  </si>
  <si>
    <t>ebooks/the-autonomous-revolution-artificial-intelligence-and-the-future-of-the-automotive-industry/index.html</t>
  </si>
  <si>
    <t>/ebooks/the-autonomous-revolution-artificial-intelligence-and-the-future-of-the-automotive-industry/</t>
  </si>
  <si>
    <t>The Autonomous Revolution | Jonathan Harris</t>
  </si>
  <si>
    <t>https://jonathan-harris.online/ebooks/the-autonomous-revolution-artificial-intelligence-and-the-future-of-the-automotive-industry/buy-now</t>
  </si>
  <si>
    <t>https://mybook.to/DS4Ag</t>
  </si>
  <si>
    <t>ebooks/the-dumbening-how-ai-is-reshaping-our-minds/index.html</t>
  </si>
  <si>
    <t>/ebooks/the-dumbening-how-ai-is-reshaping-our-minds/</t>
  </si>
  <si>
    <t>The Dumbening: How AI is Reshaping Our Minds | Jonathan Harris</t>
  </si>
  <si>
    <t>https://jonathan-harris.online/ebooks/the-dumbening-how-ai-is-reshaping-our-minds/buy-now</t>
  </si>
  <si>
    <t>https://mybook.to/YcRiCRp</t>
  </si>
  <si>
    <t>ebooks/the-future-of-government-leveraging-ai-to-enhance-services-and-safeguard-information/index.html</t>
  </si>
  <si>
    <t>/ebooks/the-future-of-government-leveraging-ai-to-enhance-services-and-safeguard-information/</t>
  </si>
  <si>
    <t>The Future of Government and AI | Jonathan Harris</t>
  </si>
  <si>
    <t>https://jonathan-harris.online/ebooks/the-future-of-government-leveraging-ai-to-enhance-services-and-safeguard-information/buy-now</t>
  </si>
  <si>
    <t>https://mybook.to/3TwcUA</t>
  </si>
  <si>
    <t>ebooks/the-house-always-knows-ai-gambling-and-the-ethics-of-personalized-gaming/index.html</t>
  </si>
  <si>
    <t>/ebooks/the-house-always-knows-ai-gambling-and-the-ethics-of-personalized-gaming/</t>
  </si>
  <si>
    <t>The House Always Knows | Jonathan Harris</t>
  </si>
  <si>
    <t>https://jonathan-harris.online/ebooks/the-house-always-knows-ai-gambling-and-the-ethics-of-personalized-gaming/buy-now</t>
  </si>
  <si>
    <t>https://mybook.to/K7nVJGv</t>
  </si>
  <si>
    <t>topics/generative-ai/index.html</t>
  </si>
  <si>
    <t>/topics/generative-ai/</t>
  </si>
  <si>
    <t>Generative AI | Jonathan Harris</t>
  </si>
  <si>
    <t>glossary/index.html</t>
  </si>
  <si>
    <t>/glossary/</t>
  </si>
  <si>
    <t>Glossary | Jonathan Harris</t>
  </si>
  <si>
    <t>newsletter/index.html</t>
  </si>
  <si>
    <t>/newsletter/</t>
  </si>
  <si>
    <t>Get the AI Edge | Jonathan Harris</t>
  </si>
  <si>
    <t>podcast/index.html</t>
  </si>
  <si>
    <t>/podcast/</t>
  </si>
  <si>
    <t>Turing’s Torch: AI Weekly | Jonathan Harris</t>
  </si>
  <si>
    <t>privacy-policy/index.html</t>
  </si>
  <si>
    <t>/privacy-policy/</t>
  </si>
  <si>
    <t>Privacy Policy | Jonathan Harris</t>
  </si>
  <si>
    <t>topics/robotics-automation/index.html</t>
  </si>
  <si>
    <t>/topics/robotics-automation/</t>
  </si>
  <si>
    <t>Robotics &amp; Automation | Jonathan Harris</t>
  </si>
  <si>
    <t>terms-of-use/index.html</t>
  </si>
  <si>
    <t>/terms-of-use/</t>
  </si>
  <si>
    <t>Terms of Use | Jonathan Harris</t>
  </si>
  <si>
    <t>topics/index.html</t>
  </si>
  <si>
    <t>/topics/</t>
  </si>
  <si>
    <t>AI Topics | Jonathan Harris</t>
  </si>
  <si>
    <t>topics/ai-ethics/index.html</t>
  </si>
  <si>
    <t>/topics/ai-ethics/</t>
  </si>
  <si>
    <t>https://jonathan-harris.online/topics/ai-ethics/</t>
  </si>
  <si>
    <t>AI Ethics | Jonathan Harris</t>
  </si>
  <si>
    <t>Topic guide</t>
  </si>
  <si>
    <t>topics/ai-in-education/index.html</t>
  </si>
  <si>
    <t>/topics/ai-in-education/</t>
  </si>
  <si>
    <t>https://jonathan-harris.online/topics/ai-in-education/</t>
  </si>
  <si>
    <t>topics/ai-in-finance/index.html</t>
  </si>
  <si>
    <t>/topics/ai-in-finance/</t>
  </si>
  <si>
    <t>https://jonathan-harris.online/topics/ai-in-finance/</t>
  </si>
  <si>
    <t>AI in Finance | Jonathan Harris</t>
  </si>
  <si>
    <t>topics/deep-learning/index.html</t>
  </si>
  <si>
    <t>/topics/deep-learning/</t>
  </si>
  <si>
    <t>https://jonathan-harris.online/topics/deep-learning/</t>
  </si>
  <si>
    <t>Deep Learning | Jonathan Harris</t>
  </si>
  <si>
    <t>topics/machine-learning/index.html</t>
  </si>
  <si>
    <t>/topics/machine-learning/</t>
  </si>
  <si>
    <t>https://jonathan-harris.online/topics/machine-learning/</t>
  </si>
  <si>
    <t>Machine Learning | Jonathan Harris</t>
  </si>
  <si>
    <t>Site URL inventory summary</t>
  </si>
  <si>
    <t>Total HTML pages listed</t>
  </si>
  <si>
    <t>Book/public ebook pages</t>
  </si>
  <si>
    <t>Pages with buy-now URL</t>
  </si>
  <si>
    <t>Books with imported metadata</t>
  </si>
  <si>
    <t>Buy-now redirect rules listed</t>
  </si>
  <si>
    <t>Cover art URLs imported</t>
  </si>
  <si>
    <t>Slug</t>
  </si>
  <si>
    <t>Book URL</t>
  </si>
  <si>
    <t>Legacy alias URL</t>
  </si>
  <si>
    <t>ai-and-formula-1-redefining-speed-and-strategy-with-intelligent-technology</t>
  </si>
  <si>
    <t>https://jonathan-harris.online/ebooks/ai-and-formula-1-redefining-speed-and-strategy-with-intelligent-technology/</t>
  </si>
  <si>
    <t>https://jonathan-harris.online/book/ai-and-formula-1-redefining-speed-and-strategy-with-intelligent-technology/buy-now</t>
  </si>
  <si>
    <t>B0DQHSD858</t>
  </si>
  <si>
    <t>https://images.jonathan-harris.online/ai-formula-speed-webp</t>
  </si>
  <si>
    <t>ai-in-agriculture-revolutionizing-farming-for-a-sustainable-future</t>
  </si>
  <si>
    <t>https://jonathan-harris.online/ebooks/ai-in-agriculture-revolutionizing-farming-for-a-sustainable-future/</t>
  </si>
  <si>
    <t>https://jonathan-harris.online/book/ai-in-agriculture-revolutionizing-farming-for-a-sustainable-future/buy-now</t>
  </si>
  <si>
    <t>B0DMN32J3Y</t>
  </si>
  <si>
    <t>https://images.jonathan-harris.online/ai-agriculture-farming-sustainable-webp</t>
  </si>
  <si>
    <t>ai-in-aviation-transforming-safety-and-sustainability</t>
  </si>
  <si>
    <t>https://jonathan-harris.online/ebooks/ai-in-aviation-transforming-safety-and-sustainability/</t>
  </si>
  <si>
    <t>https://jonathan-harris.online/book/ai-in-aviation-transforming-safety-and-sustainability/buy-now</t>
  </si>
  <si>
    <t>B0DMKTLMX6</t>
  </si>
  <si>
    <t>https://images.jonathan-harris.online/ai-aviation-safety-webp</t>
  </si>
  <si>
    <t>ai-in-education-reimagining-learning-for-every-student</t>
  </si>
  <si>
    <t>https://jonathan-harris.online/ebooks/ai-in-education-reimagining-learning-for-every-student/</t>
  </si>
  <si>
    <t>https://jonathan-harris.online/book/ai-in-education-reimagining-learning-for-every-student/buy-now</t>
  </si>
  <si>
    <t>B0DMKXWQDK</t>
  </si>
  <si>
    <t>https://images.jonathan-harris.online/ai-education-reimagining-learning-webp</t>
  </si>
  <si>
    <t>ai-in-maritime-revolutionizing-shipping-for-sustainability</t>
  </si>
  <si>
    <t>https://jonathan-harris.online/ebooks/ai-in-maritime-revolutionizing-shipping-for-sustainability/</t>
  </si>
  <si>
    <t>https://jonathan-harris.online/book/ai-in-maritime-revolutionizing-shipping-for-sustainability/buy-now</t>
  </si>
  <si>
    <t>B0DMMTGNDJ</t>
  </si>
  <si>
    <t>https://images.jonathan-harris.online/ai-maritime-shipping-webp</t>
  </si>
  <si>
    <t>ai-powered-smart-grid-revolutionizing-electricity-distribution-and-generation</t>
  </si>
  <si>
    <t>https://jonathan-harris.online/ebooks/ai-powered-smart-grid-revolutionizing-electricity-distribution-and-generation/</t>
  </si>
  <si>
    <t>https://jonathan-harris.online/book/ai-powered-smart-grid-revolutionizing-electricity-distribution-and-generation/buy-now</t>
  </si>
  <si>
    <t>B0DMKFZ3W3</t>
  </si>
  <si>
    <t>https://images.jonathan-harris.online/ai-smart-grid-electricity-webp</t>
  </si>
  <si>
    <t>ai-revolution-in-railways-modernizing-travel-for-a-smarter-future</t>
  </si>
  <si>
    <t>https://jonathan-harris.online/ebooks/ai-revolution-in-railways-modernizing-travel-for-a-smarter-future/</t>
  </si>
  <si>
    <t>https://jonathan-harris.online/book/ai-revolution-in-railways-modernizing-travel-for-a-smarter-future/buy-now</t>
  </si>
  <si>
    <t>B0DWM19MZH</t>
  </si>
  <si>
    <t>https://images.jonathan-harris.online/ai-revolution-railways-modernizing-webp</t>
  </si>
  <si>
    <t>artificial-intelligence-and-the-law-case-studies-and-future-trends</t>
  </si>
  <si>
    <t>https://jonathan-harris.online/ebooks/artificial-intelligence-and-the-law-case-studies-and-future-trends/</t>
  </si>
  <si>
    <t>https://jonathan-harris.online/book/artificial-intelligence-and-the-law-case-studies-and-future-trends/buy-now</t>
  </si>
  <si>
    <t>B0DQHTBSWJ</t>
  </si>
  <si>
    <t>https://images.jonathan-harris.online/artificial-intelligence-law-webp</t>
  </si>
  <si>
    <t>artificial-intelligence-for-cyber-security-a-practical-guide-to-data-breach-prevention</t>
  </si>
  <si>
    <t>https://jonathan-harris.online/ebooks/artificial-intelligence-for-cyber-security-a-practical-guide-to-data-breach-prevention/</t>
  </si>
  <si>
    <t>https://jonathan-harris.online/book/artificial-intelligence-for-cyber-security-a-practical-guide-to-data-breach-prevention/buy-now</t>
  </si>
  <si>
    <t>B0DN4GZZQ4</t>
  </si>
  <si>
    <t>https://images.jonathan-harris.online/artificial-intelligence-cyber-practical-webp</t>
  </si>
  <si>
    <t>artificial-intelligence-for-wildlife-conservation-revolutionizing-biodiversity-protection-through-technology</t>
  </si>
  <si>
    <t>https://jonathan-harris.online/ebooks/artificial-intelligence-for-wildlife-conservation-revolutionizing-biodiversity-protection-through-technology/</t>
  </si>
  <si>
    <t>https://jonathan-harris.online/book/artificial-intelligence-for-wildlife-conservation-revolutionizing-biodiversity-protection-through-technology/buy-now</t>
  </si>
  <si>
    <t>B0DQK6B53Z</t>
  </si>
  <si>
    <t>https://images.jonathan-harris.online/artificial-intelligence-wildlife-conservation-webp</t>
  </si>
  <si>
    <t>artificial-intelligence-in-banking-revolutionizing-finance-and-data-security</t>
  </si>
  <si>
    <t>https://jonathan-harris.online/ebooks/artificial-intelligence-in-banking-revolutionizing-finance-and-data-security/</t>
  </si>
  <si>
    <t>https://jonathan-harris.online/book/artificial-intelligence-in-banking-revolutionizing-finance-and-data-security/buy-now</t>
  </si>
  <si>
    <t>B0DML75B3C</t>
  </si>
  <si>
    <t>https://images.jonathan-harris.online/artificial-intelligence-banking-finance-webp</t>
  </si>
  <si>
    <t>artificial-intelligence-in-construction-building-a-sustainable-future</t>
  </si>
  <si>
    <t>https://jonathan-harris.online/ebooks/artificial-intelligence-in-construction-building-a-sustainable-future/</t>
  </si>
  <si>
    <t>https://jonathan-harris.online/book/artificial-intelligence-in-construction-building-a-sustainable-future/buy-now</t>
  </si>
  <si>
    <t>B0DMQMGLP4</t>
  </si>
  <si>
    <t>https://images.jonathan-harris.online/artificial-intelligence-construction-building-webp</t>
  </si>
  <si>
    <t>artificial-intelligence-in-industry-a-comprehensive-guide</t>
  </si>
  <si>
    <t>https://jonathan-harris.online/ebooks/artificial-intelligence-in-industry-a-comprehensive-guide/</t>
  </si>
  <si>
    <t>https://jonathan-harris.online/book/artificial-intelligence-in-industry-a-comprehensive-guide/buy-now</t>
  </si>
  <si>
    <t>B0DMV47ZRL</t>
  </si>
  <si>
    <t>https://images.jonathan-harris.online/artificial-intelligence-industry-comprehensive-webp</t>
  </si>
  <si>
    <t>artificial-intelligence-in-logistics-optimizing-efficiency-and-sustainability</t>
  </si>
  <si>
    <t>https://jonathan-harris.online/ebooks/artificial-intelligence-in-logistics-optimizing-efficiency-and-sustainability/</t>
  </si>
  <si>
    <t>https://jonathan-harris.online/book/artificial-intelligence-in-logistics-optimizing-efficiency-and-sustainability/buy-now</t>
  </si>
  <si>
    <t>B0DMQLK6LY</t>
  </si>
  <si>
    <t>https://images.jonathan-harris.online/artificial-intelligence-logistics-webp</t>
  </si>
  <si>
    <t>artificial-intelligence-in-pharmaceuticals-revolutionizing-healthcare</t>
  </si>
  <si>
    <t>https://jonathan-harris.online/ebooks/artificial-intelligence-in-pharmaceuticals-revolutionizing-healthcare/</t>
  </si>
  <si>
    <t>https://jonathan-harris.online/book/artificial-intelligence-in-pharmaceuticals-revolutionizing-healthcare/buy-now</t>
  </si>
  <si>
    <t>B0DN4XSLK9</t>
  </si>
  <si>
    <t>https://images.jonathan-harris.online/artificial-intelligence-pharmaceuticals-revolutionizing-healthcare-webp</t>
  </si>
  <si>
    <t>artificial-intelligence-in-sports-revolutionizing-performance-and-fan-engagement</t>
  </si>
  <si>
    <t>https://jonathan-harris.online/ebooks/artificial-intelligence-in-sports-revolutionizing-performance-and-fan-engagement/</t>
  </si>
  <si>
    <t>https://jonathan-harris.online/book/artificial-intelligence-in-sports-revolutionizing-performance-and-fan-engagement/buy-now</t>
  </si>
  <si>
    <t>B0DQFJ6XP5</t>
  </si>
  <si>
    <t>https://images.jonathan-harris.online/artificial-intelligence-sports-performance-webp</t>
  </si>
  <si>
    <t>artificial-intelligence-in-veterinary-medicine-transforming-animal-healthcare-through-innovation</t>
  </si>
  <si>
    <t>https://jonathan-harris.online/ebooks/artificial-intelligence-in-veterinary-medicine-transforming-animal-healthcare-through-innovation/</t>
  </si>
  <si>
    <t>https://jonathan-harris.online/book/artificial-intelligence-in-veterinary-medicine-transforming-animal-healthcare-through-innovation/buy-now</t>
  </si>
  <si>
    <t>B0DQK6C563</t>
  </si>
  <si>
    <t>https://images.jonathan-harris.online/artificial-intelligence-veterinary-medicine-webp</t>
  </si>
  <si>
    <t>artificial-intelligence-powered-retail-revolutionizing-customer-experience-for-a-sustainable-future</t>
  </si>
  <si>
    <t>https://jonathan-harris.online/ebooks/artificial-intelligence-powered-retail-revolutionizing-customer-experience-for-a-sustainable-future/</t>
  </si>
  <si>
    <t>https://jonathan-harris.online/book/artificial-intelligence-powered-retail-revolutionizing-customer-experience-for-a-sustainable-future/buy-now</t>
  </si>
  <si>
    <t>B0DMYHW17M</t>
  </si>
  <si>
    <t>https://images.jonathan-harris.online/artificial-intelligence-retail-customer-webp</t>
  </si>
  <si>
    <t>artificial-intelligence-revolution-in-manufacturing-modernizing-operations-maintenance-and-service-delivery</t>
  </si>
  <si>
    <t>https://jonathan-harris.online/ebooks/artificial-intelligence-revolution-in-manufacturing-modernizing-operations-maintenance-and-service-delivery/</t>
  </si>
  <si>
    <t>https://jonathan-harris.online/book/artificial-intelligence-revolution-in-manufacturing-modernizing-operations-maintenance-and-service-delivery/buy-now</t>
  </si>
  <si>
    <t>B0DMV2Q6TF</t>
  </si>
  <si>
    <t>https://images.jonathan-harris.online/artificial-intelligence-revolution-manufacturing-webp</t>
  </si>
  <si>
    <t>beyond-earth-how-ai-is-transforming-space-exploration</t>
  </si>
  <si>
    <t>https://jonathan-harris.online/ebooks/beyond-earth-how-ai-is-transforming-space-exploration/</t>
  </si>
  <si>
    <t>https://jonathan-harris.online/book/beyond-earth-how-ai-is-transforming-space-exploration/buy-now</t>
  </si>
  <si>
    <t>B0DY4Q2Q2D</t>
  </si>
  <si>
    <t>https://images.jonathan-harris.online/ai-earth-space-exploration-webp</t>
  </si>
  <si>
    <t>climate-intelligence-harnessing-ai-for-a-greener-future</t>
  </si>
  <si>
    <t>https://jonathan-harris.online/ebooks/climate-intelligence-harnessing-ai-for-a-greener-future/</t>
  </si>
  <si>
    <t>https://jonathan-harris.online/book/climate-intelligence-harnessing-ai-for-a-greener-future/buy-now</t>
  </si>
  <si>
    <t>B0DM72JZ44</t>
  </si>
  <si>
    <t>https://images.jonathan-harris.online/ai-climate-intelligence-greener-webp</t>
  </si>
  <si>
    <t>digital-defense-the-role-of-ai-in-modern-warfare</t>
  </si>
  <si>
    <t>https://jonathan-harris.online/ebooks/digital-defense-the-role-of-ai-in-modern-warfare/</t>
  </si>
  <si>
    <t>https://jonathan-harris.online/book/digital-defense-the-role-of-ai-in-modern-warfare/buy-now</t>
  </si>
  <si>
    <t>B0DM8256SL</t>
  </si>
  <si>
    <t>https://images.jonathan-harris.online/ai-digital-defense-modern-webp</t>
  </si>
  <si>
    <t>digital-diagnosis-how-ai-is-revolutionizing-healthcare</t>
  </si>
  <si>
    <t>https://jonathan-harris.online/ebooks/digital-diagnosis-how-ai-is-revolutionizing-healthcare/</t>
  </si>
  <si>
    <t>https://jonathan-harris.online/book/digital-diagnosis-how-ai-is-revolutionizing-healthcare/buy-now</t>
  </si>
  <si>
    <t>B0DM73FR3W</t>
  </si>
  <si>
    <t>https://images.jonathan-harris.online/ai-digital-diagnosis-healthcare-webp</t>
  </si>
  <si>
    <t>from-reporters-to-robots-how-ai-is-reshaping-journalism</t>
  </si>
  <si>
    <t>https://jonathan-harris.online/ebooks/from-reporters-to-robots-how-ai-is-reshaping-journalism/</t>
  </si>
  <si>
    <t>https://jonathan-harris.online/book/from-reporters-to-robots-how-ai-is-reshaping-journalism/buy-now</t>
  </si>
  <si>
    <t>B0DY4NP1WF</t>
  </si>
  <si>
    <t>https://images.jonathan-harris.online/ai-reporters-robots-reshaping-webp</t>
  </si>
  <si>
    <t>game-ai-unleashed-from-finite-state-machines-to-machine-learning</t>
  </si>
  <si>
    <t>https://jonathan-harris.online/ebooks/game-ai-unleashed-from-finite-state-machines-to-machine-learning/</t>
  </si>
  <si>
    <t>https://jonathan-harris.online/book/game-ai-unleashed-from-finite-state-machines-to-machine-learning/buy-now</t>
  </si>
  <si>
    <t>B0DY18CYT6</t>
  </si>
  <si>
    <t>https://images.jonathan-harris.online/ai-game-unleashed-finite-webp</t>
  </si>
  <si>
    <t>lights-camera-algorithm-ai-s-role-in-modern-filmmaking</t>
  </si>
  <si>
    <t>https://jonathan-harris.online/ebooks/lights-camera-algorithm-ai-s-role-in-modern-filmmaking/</t>
  </si>
  <si>
    <t>https://jonathan-harris.online/book/lights-camera-algorithm-ai-s-role-in-modern-filmmaking/buy-now</t>
  </si>
  <si>
    <t>B0DY672VRB</t>
  </si>
  <si>
    <t>https://images.jonathan-harris.online/lights-camera-algorithm-ais-webp</t>
  </si>
  <si>
    <t>smart-buildings-ai-powered-efficiency-and-sustainability</t>
  </si>
  <si>
    <t>https://jonathan-harris.online/ebooks/smart-buildings-ai-powered-efficiency-and-sustainability/</t>
  </si>
  <si>
    <t>https://jonathan-harris.online/book/smart-buildings-ai-powered-efficiency-and-sustainability/buy-now</t>
  </si>
  <si>
    <t>B0DMHBQVCR</t>
  </si>
  <si>
    <t>https://images.jonathan-harris.online/ai-smart-buildings-webp</t>
  </si>
  <si>
    <t>the-ai-behind-your-feed-personalization-moderation-and-the-future-of-social-media</t>
  </si>
  <si>
    <t>https://jonathan-harris.online/ebooks/the-ai-behind-your-feed-personalization-moderation-and-the-future-of-social-media/</t>
  </si>
  <si>
    <t>https://jonathan-harris.online/book/the-ai-behind-your-feed-personalization-moderation-and-the-future-of-social-media/buy-now</t>
  </si>
  <si>
    <t>B0DY12Z1SP</t>
  </si>
  <si>
    <t>https://images.jonathan-harris.online/ai-behind-your-feed-webp</t>
  </si>
  <si>
    <t>the-ai-music-revolution-creativity-controversy-and-collaboration</t>
  </si>
  <si>
    <t>https://jonathan-harris.online/ebooks/the-ai-music-revolution-creativity-controversy-and-collaboration/</t>
  </si>
  <si>
    <t>https://jonathan-harris.online/book/the-ai-music-revolution-creativity-controversy-and-collaboration/buy-now</t>
  </si>
  <si>
    <t>B0DY666TZJ</t>
  </si>
  <si>
    <t>https://images.jonathan-harris.online/ai-music-revolution-creativity-webp</t>
  </si>
  <si>
    <t>the-architects-of-ai-pioneers-breakthroughs-and-the-road-ahead</t>
  </si>
  <si>
    <t>https://jonathan-harris.online/ebooks/the-architects-of-ai-pioneers-breakthroughs-and-the-road-ahead/</t>
  </si>
  <si>
    <t>https://jonathan-harris.online/book/the-architects-of-ai-pioneers-breakthroughs-and-the-road-ahead/buy-now</t>
  </si>
  <si>
    <t>B0DY5MRT6K</t>
  </si>
  <si>
    <t>https://images.jonathan-harris.online/architects-ai_-pioneers_-breakthroughs_-webp</t>
  </si>
  <si>
    <t>the-artificial-intelligence-job-shift-navigating-the-future-of-work</t>
  </si>
  <si>
    <t>https://jonathan-harris.online/ebooks/the-artificial-intelligence-job-shift-navigating-the-future-of-work/</t>
  </si>
  <si>
    <t>https://jonathan-harris.online/book/the-artificial-intelligence-job-shift-navigating-the-future-of-work/buy-now</t>
  </si>
  <si>
    <t>B0DMQHQTQH</t>
  </si>
  <si>
    <t>https://images.jonathan-harris.online/artificial-intelligence-job-shift-webp</t>
  </si>
  <si>
    <t>the-artificial-intelligence-revolution-from-algorithms-to-consciousness</t>
  </si>
  <si>
    <t>https://jonathan-harris.online/ebooks/the-artificial-intelligence-revolution-from-algorithms-to-consciousness/</t>
  </si>
  <si>
    <t>https://jonathan-harris.online/book/the-artificial-intelligence-revolution-from-algorithms-to-consciousness/buy-now</t>
  </si>
  <si>
    <t>B0DMYF3YH3</t>
  </si>
  <si>
    <t>https://images.jonathan-harris.online/artificial-intelligence-revolution-algorithms-webp</t>
  </si>
  <si>
    <t>the-autonomous-revolution-artificial-intelligence-and-the-future-of-the-automotive-industry</t>
  </si>
  <si>
    <t>https://jonathan-harris.online/ebooks/the-autonomous-revolution-artificial-intelligence-and-the-future-of-the-automotive-industry/</t>
  </si>
  <si>
    <t>https://jonathan-harris.online/book/the-autonomous-revolution-artificial-intelligence-and-the-future-of-the-automotive-industry/buy-now</t>
  </si>
  <si>
    <t>B0DMYQV1LY</t>
  </si>
  <si>
    <t>https://images.jonathan-harris.online/autonomous-revolution-artificial-intelligence-webp</t>
  </si>
  <si>
    <t>the-dumbening-how-ai-is-reshaping-our-minds</t>
  </si>
  <si>
    <t>https://jonathan-harris.online/ebooks/the-dumbening-how-ai-is-reshaping-our-minds/</t>
  </si>
  <si>
    <t>https://jonathan-harris.online/book/the-dumbening-how-ai-is-reshaping-our-minds/buy-now</t>
  </si>
  <si>
    <t>B0DMMVN17Z</t>
  </si>
  <si>
    <t>https://images.jonathan-harris.online/ai-dumbening-reshaping-our-webp</t>
  </si>
  <si>
    <t>the-future-of-government-leveraging-ai-to-enhance-services-and-safeguard-information</t>
  </si>
  <si>
    <t>https://jonathan-harris.online/ebooks/the-future-of-government-leveraging-ai-to-enhance-services-and-safeguard-information/</t>
  </si>
  <si>
    <t>https://jonathan-harris.online/book/the-future-of-government-leveraging-ai-to-enhance-services-and-safeguard-information/buy-now</t>
  </si>
  <si>
    <t>B0DM74CRSD</t>
  </si>
  <si>
    <t>https://images.jonathan-harris.online/ai-government-enhance-services-webp</t>
  </si>
  <si>
    <t>the-house-always-knows-ai-gambling-and-the-ethics-of-personalized-gaming</t>
  </si>
  <si>
    <t>https://jonathan-harris.online/ebooks/the-house-always-knows-ai-gambling-and-the-ethics-of-personalized-gaming/</t>
  </si>
  <si>
    <t>https://jonathan-harris.online/book/the-house-always-knows-ai-gambling-and-the-ethics-of-personalized-gaming/buy-now</t>
  </si>
  <si>
    <t>B0DY4PSD8Z</t>
  </si>
  <si>
    <t>https://images.jonathan-harris.online/ai-house-always-knows-webp</t>
  </si>
  <si>
    <t>Title</t>
  </si>
  <si>
    <t>Short description</t>
  </si>
  <si>
    <t>Description</t>
  </si>
  <si>
    <t>Summary</t>
  </si>
  <si>
    <t>Topic</t>
  </si>
  <si>
    <t>Tags</t>
  </si>
  <si>
    <t>Keywords</t>
  </si>
  <si>
    <t>Audience</t>
  </si>
  <si>
    <t>Who this book is for</t>
  </si>
  <si>
    <t>What this book covers</t>
  </si>
  <si>
    <t>What you'll learn</t>
  </si>
  <si>
    <t>Why it matters</t>
  </si>
  <si>
    <t>Tone</t>
  </si>
  <si>
    <t>Author</t>
  </si>
  <si>
    <t>Identifier</t>
  </si>
  <si>
    <t>Manuscript filename</t>
  </si>
  <si>
    <t>Manuscript title observed</t>
  </si>
  <si>
    <t>Title alignment status</t>
  </si>
  <si>
    <t>AI and Formula 1: Redefining Speed and Strategy with Intelligent Technology</t>
  </si>
  <si>
    <t>A plain-English guide to AI in Formula 1, focused on practical use, trade-offs, and sharper questions.</t>
  </si>
  <si>
    <t>A guide to AI in Formula 1 — real-time strategy optimisation, predictive analytics, and how intelligent technology is transforming racing.</t>
  </si>
  <si>
    <t>A guide to AI in Formula 1 — real-time strategy optimisation, predictive analytics, and how intelligent technology is transforming racing. This book follows the workflows, trade-offs, and decision points shaping Formula 1, so readers can separate useful systems from glossy nonsense.</t>
  </si>
  <si>
    <t>Transportation</t>
  </si>
  <si>
    <t>Transportation | Artificial Intelligence | AI Trends | AI in Sports</t>
  </si>
  <si>
    <t>Transportation | AI and Formula 1: Redefining Speed and Strategy with Intelligent Technology | AI Trends | Artificial Intelligence | AI in Sports</t>
  </si>
  <si>
    <t>Readers who want a grounded, non-technical view of AI in Formula 1, including operators, planners, analysts, product teams, and readers tracking mobility systems.</t>
  </si>
  <si>
    <t>Best for people weighing real adoption choices in Formula 1. It is written for operators, planners, analysts, product teams, and readers tracking mobility systems who want practical context rather than brochure copy.</t>
  </si>
  <si>
    <t>It covers the main use cases, the workflow and data changes behind them, the claims worth taking seriously, and the governance questions that show up once AI starts steering decisions in Formula 1.</t>
  </si>
  <si>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</si>
  <si>
    <t>Because decisions in Formula 1 affect safety, throughput, reliability, and emissions. Once AI enters the loop, sloppy assumptions get expensive very quickly.</t>
  </si>
  <si>
    <t>Plain-English, practical, sceptical, no-hype</t>
  </si>
  <si>
    <t>Jonathan Harris</t>
  </si>
  <si>
    <t>JH-AI-EBOOK-01</t>
  </si>
  <si>
    <t>01. AI and Formula 1.pdf</t>
  </si>
  <si>
    <t>Aligned</t>
  </si>
  <si>
    <t>Artificial Intelligence in Veterinary Medicine: Transforming Animal Healthcare Through Innovation</t>
  </si>
  <si>
    <t>A grounded look at AI in Veterinary Medicine, covering what works, what wobbles, and what matters in practice.</t>
  </si>
  <si>
    <t>Artificial intelligence transforms veterinary care with diagnostic tools, predictive health monitoring, and personalized treatments.</t>
  </si>
  <si>
    <t>Artificial intelligence transforms veterinary care with diagnostic tools, predictive health monitoring, and personalized treatments. It looks at where AI is already earning its keep in Veterinary Medicine, where the claims run ahead of the evidence, and what sensible adoption actually looks like.</t>
  </si>
  <si>
    <t>Healthcare</t>
  </si>
  <si>
    <t>Healthcare | Artificial Intelligence | AI Trends</t>
  </si>
  <si>
    <t>Healthcare | Artificial Intelligence in Veterinary Medicine: Transforming Animal Healthcare Through Innovation | AI Trends | Artificial Intelligence</t>
  </si>
  <si>
    <t>A clear, no-hype briefing on AI in Veterinary Medicine for clinicians, healthcare managers, founders, analysts, and readers tracking care delivery.</t>
  </si>
  <si>
    <t>Written for clinicians, healthcare managers, founders, analysts, and readers tracking care delivery who need a clearer read on what AI can and cannot do in Veterinary Medicine, without wading through technical theatre.</t>
  </si>
  <si>
    <t>It maps the practical applications, the operational pinch points, the decision workflows, and the reliability questions that appear when AI moves from demo to deployment in Veterinary Medicine.</t>
  </si>
  <si>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</si>
  <si>
    <t>Veterinary Medicine is one of those areas where AI can help, but only if the claims survive contact with outcomes, safety, workload, and trust. That is where this book keeps its attention.</t>
  </si>
  <si>
    <t>JH-AI-EBOOK-17</t>
  </si>
  <si>
    <t>17. Artificial Intelligence in Veterinary Medicine.pdf</t>
  </si>
  <si>
    <t>AI-Powered Smart Grid: Revolutionizing Electricity Distribution and Generation</t>
  </si>
  <si>
    <t>A no-hype introduction to AI in Smart Grid, built around real applications, limits, and better judgement.</t>
  </si>
  <si>
    <t>Artificial intelligence optimizes smart grids, enhancing energy efficiency, predicting demand, and integrating renewables for sustainable electricity.</t>
  </si>
  <si>
    <t>Artificial intelligence optimizes smart grids, enhancing energy efficiency, predicting demand, and integrating renewables for sustainable electricity. The focus stays on how AI changes the day-to-day reality of Smart Grid: the tooling, the judgement calls, and the parts that still need a human spine.</t>
  </si>
  <si>
    <t>Energy</t>
  </si>
  <si>
    <t>Energy | Artificial Intelligence | AI Trends</t>
  </si>
  <si>
    <t>Energy | AI-Powered Smart Grid: Revolutionizing Electricity Distribution and Generation | AI Trends | Artificial Intelligence</t>
  </si>
  <si>
    <t>A practical overview of AI in Smart Grid for grid operators, infrastructure planners, policy teams, and readers tracking energy systems.</t>
  </si>
  <si>
    <t>Suits readers who want to understand how AI changes Smart Grid in practice, especially grid operators, infrastructure planners, policy teams, and readers tracking energy systems looking for grounded examples and fewer slogans.</t>
  </si>
  <si>
    <t>It shows where AI fits inside Smart Grid, what has to change underneath for it to work, where the risks hide, and which outcomes are realistic rather than merely well-marketed.</t>
  </si>
  <si>
    <t>Where AI is already being used in energy today — and where the claims are running ahead of reality. | The workflows, systems, and trade-offs behind practical energy use cases, explained in plain English. | Key themes including demand forecasting, grid balancing, renewables, efficiency. | The limits, risks, and awkward questions worth asking before you sign off on the sales pitch.</t>
  </si>
  <si>
    <t>AI is not arriving in Smart Grid as a parlour trick. It changes how organisations handle grid reliability, cost, resilience, and decarbonisation, so the boring details matter more than the slogans.</t>
  </si>
  <si>
    <t>JH-AI-EBOOK-06</t>
  </si>
  <si>
    <t>07 .Revolutionizing Electricity Distribution and Generation.pdf</t>
  </si>
  <si>
    <t>Artificial Intelligence in Logistics: Transforming Supply Chains for Efficiency and Sustainability</t>
  </si>
  <si>
    <t>A plain-English guide to AI in Logistics, focused on practical use, trade-offs, and sharper questions.</t>
  </si>
  <si>
    <t>Artificial intelligence streamlines logistics with route optimization, demand forecasting, and automated warehousing, reducing costs.</t>
  </si>
  <si>
    <t>Artificial intelligence streamlines logistics with route optimization, demand forecasting, and automated warehousing, reducing costs. This book follows the workflows, trade-offs, and decision points shaping Logistics, so readers can separate useful systems from glossy nonsense.</t>
  </si>
  <si>
    <t>Transportation | Artificial Intelligence | AI Trends</t>
  </si>
  <si>
    <t>Transportation | Artificial Intelligence in Logistics: Transforming Supply Chains for Efficiency and Sustainability | AI Trends | Artificial Intelligence</t>
  </si>
  <si>
    <t>Readers who want a grounded, non-technical view of AI in Logistics, including operators, planners, analysts, product teams, and readers tracking mobility systems.</t>
  </si>
  <si>
    <t>Best for people weighing real adoption choices in Logistics. It is written for operators, planners, analysts, product teams, and readers tracking mobility systems who want practical context rather than brochure copy.</t>
  </si>
  <si>
    <t>It covers the main use cases, the workflow and data changes behind them, the claims worth taking seriously, and the governance questions that show up once AI starts steering decisions in Logistics.</t>
  </si>
  <si>
    <t>Because decisions in Logistics affect safety, throughput, reliability, and emissions. Once AI enters the loop, sloppy assumptions get expensive very quickly.</t>
  </si>
  <si>
    <t>JH-AI-EBOOK-14</t>
  </si>
  <si>
    <t>14. Artificial Intelligence in Logistics.pdf</t>
  </si>
  <si>
    <t>Artificial Intelligence and the Law: Case Studies, Challenges, and Future Trends</t>
  </si>
  <si>
    <t>A grounded look at AI in law, covering what works, what wobbles, and what matters in practice.</t>
  </si>
  <si>
    <t>Explores AI's impact on legal practice through case studies, ethical dilemmas, and future trends in automated contracts and judicial decisions.</t>
  </si>
  <si>
    <t>Explores AI's impact on legal practice through case studies, ethical dilemmas, and future trends in automated contracts and judicial decisions. It looks at where AI is already earning its keep in law, where the claims run ahead of the evidence, and what sensible adoption actually looks like.</t>
  </si>
  <si>
    <t>Law</t>
  </si>
  <si>
    <t>Law | Artificial Intelligence | AI Trends</t>
  </si>
  <si>
    <t>Law | Artificial Intelligence and the Law: Case Studies, Challenges, and Future Trends | AI Trends | Artificial Intelligence</t>
  </si>
  <si>
    <t>A clear, no-hype briefing on AI in law for lawyers, compliance teams, policy readers, and anyone tracking legal change.</t>
  </si>
  <si>
    <t>Written for lawyers, compliance teams, policy readers, and anyone tracking legal change who need a clearer read on what AI can and cannot do in law, without wading through technical theatre.</t>
  </si>
  <si>
    <t>It maps the practical applications, the operational pinch points, the decision workflows, and the reliability questions that appear when AI moves from demo to deployment in law.</t>
  </si>
  <si>
    <t>Where AI is already being used in law today — and where the claims are running ahead of reality. | The workflows, systems, and trade-offs behind practical law use cases, explained in plain English. | Key themes including contracts, research, compliance, risk. | The limits, risks, and awkward questions worth asking before you sign off on the sales pitch.</t>
  </si>
  <si>
    <t>Law is one of those areas where AI can help, but only if the claims survive contact with fairness, due process, liability, and access to justice. That is where this book keeps its attention.</t>
  </si>
  <si>
    <t>JH-AI-EBOOK-08</t>
  </si>
  <si>
    <t>08. Artificial Intelligence and the Law.pdf</t>
  </si>
  <si>
    <t>Artificial Intelligence for Cyber Security: A Practical Guide to Data Breach Prevention</t>
  </si>
  <si>
    <t>A no-hype introduction to AI in Cyber Security, built around real applications, limits, and better judgement.</t>
  </si>
  <si>
    <t>A guide to using artificial intelligence for cybersecurity, using machine learning to detect threats, prevent breaches, and enhance data protection.</t>
  </si>
  <si>
    <t>A guide to using artificial intelligence for cybersecurity, using machine learning to detect threats, prevent breaches, and enhance data protection. The focus stays on how AI changes the day-to-day reality of Cyber Security: the tooling, the judgement calls, and the parts that still need a human spine.</t>
  </si>
  <si>
    <t>Cyber Security</t>
  </si>
  <si>
    <t>Cyber Security | Artificial Intelligence | AI Trends</t>
  </si>
  <si>
    <t>Cyber Security | Artificial Intelligence for Cyber Security: A Practical Guide to Data Breach Prevention | AI Trends | Artificial Intelligence</t>
  </si>
  <si>
    <t>A practical overview of AI in Cyber Security for security teams, risk managers, founders, and readers tracking digital defence.</t>
  </si>
  <si>
    <t>Suits readers who want to understand how AI changes Cyber Security in practice, especially security teams, risk managers, founders, and readers tracking digital defence looking for grounded examples and fewer slogans.</t>
  </si>
  <si>
    <t>It shows where AI fits inside Cyber Security, what has to change underneath for it to work, where the risks hide, and which outcomes are realistic rather than merely well-marketed.</t>
  </si>
  <si>
    <t>Where AI is already being used in cyber security today — and where the claims are running ahead of reality. | The workflows, systems, and trade-offs behind practical cyber security use cases, explained in plain English. | Key themes including threat detection, breach prevention, automation, response. | The limits, risks, and awkward questions worth asking before you sign off on the sales pitch.</t>
  </si>
  <si>
    <t>AI is not arriving in Cyber Security as a parlour trick. It changes how organisations handle breach risk, response speed, and resilience, so the boring details matter more than the slogans.</t>
  </si>
  <si>
    <t>JH-AI-EBOOK-09</t>
  </si>
  <si>
    <t>09. Artificial Intelligence of cyber security.pdf</t>
  </si>
  <si>
    <t>Artificial Intelligence for Cyber Security: Protecting Digital Assets with AI Innovation</t>
  </si>
  <si>
    <t>Workbook retained as canonical; align manuscript title page on next revision</t>
  </si>
  <si>
    <t>The Artificial Intelligence Revolution: From Algorithms to Consciousness</t>
  </si>
  <si>
    <t>A plain-English guide to AI in artificial intelligence itself, focused on practical use, trade-offs, and sharper questions.</t>
  </si>
  <si>
    <t>Chronicles AI's evolution from basic algorithms to potential consciousness, exploring its technological, ethical, and societal implications.</t>
  </si>
  <si>
    <t>Chronicles AI's evolution from basic algorithms to potential consciousness, exploring its technological, ethical, and societal implications. This book follows the workflows, trade-offs, and decision points shaping artificial intelligence itself, so readers can separate useful systems from glossy nonsense.</t>
  </si>
  <si>
    <t>Artificial Intelligence</t>
  </si>
  <si>
    <t>Artificial Intelligence | AI Trends</t>
  </si>
  <si>
    <t>Artificial Intelligence | The Artificial Intelligence Revolution: From Algorithms to Consciousness | AI Trends</t>
  </si>
  <si>
    <t>Readers who want a grounded, non-technical view of AI in artificial intelligence itself, including AI-curious readers, strategists, students, and anyone trying to separate substance from theatre.</t>
  </si>
  <si>
    <t>Best for people weighing real adoption choices in artificial intelligence itself. It is written for AI-curious readers, strategists, students, and anyone trying to separate substance from theatre who want practical context rather than brochure copy.</t>
  </si>
  <si>
    <t>It covers the main use cases, the workflow and data changes behind them, the claims worth taking seriously, and the governance questions that show up once AI starts steering decisions in artificial intelligence itself.</t>
  </si>
  <si>
    <t>Where AI is already being used in artificial intelligence today — and where the claims are running ahead of reality. | The workflows, systems, and trade-offs behind practical artificial intelligence use cases, explained in plain English. | Key themes including use cases, governance, trade-offs, adoption. | The limits, risks, and awkward questions worth asking before you sign off on the sales pitch.</t>
  </si>
  <si>
    <t>Because decisions in artificial intelligence itself affect how people judge the technology in the first place. Once AI enters the loop, sloppy assumptions get expensive very quickly.</t>
  </si>
  <si>
    <t>JH-AI-EBOOK-32</t>
  </si>
  <si>
    <t>25. The Artificial Intelligence Revolution From Algorithms to Consciousness.pdf</t>
  </si>
  <si>
    <t>The Artificial Intelligence Revolution From Algorithms to Consciousness</t>
  </si>
  <si>
    <t>Minor punctuation/casing drift; workbook retained as canonical</t>
  </si>
  <si>
    <t>AI in Aviation: Transforming Safety and Sustainability</t>
  </si>
  <si>
    <t>A grounded look at AI in Aviation, covering what works, what wobbles, and what matters in practice.</t>
  </si>
  <si>
    <t>Artificial intelligence enhances aviation safety with predictive maintenance, air traffic optimization, and fuel-efficient flight.</t>
  </si>
  <si>
    <t>Artificial intelligence enhances aviation safety with predictive maintenance, air traffic optimization, and fuel-efficient flight. It looks at where AI is already earning its keep in Aviation, where the claims run ahead of the evidence, and what sensible adoption actually looks like.</t>
  </si>
  <si>
    <t>Transportation | AI in Aviation: Transforming Safety and Sustainability | AI Trends | Artificial Intelligence</t>
  </si>
  <si>
    <t>A clear, no-hype briefing on AI in Aviation for operators, planners, analysts, product teams, and readers tracking mobility systems.</t>
  </si>
  <si>
    <t>Written for operators, planners, analysts, product teams, and readers tracking mobility systems who need a clearer read on what AI can and cannot do in Aviation, without wading through technical theatre.</t>
  </si>
  <si>
    <t>It maps the practical applications, the operational pinch points, the decision workflows, and the reliability questions that appear when AI moves from demo to deployment in Aviation.</t>
  </si>
  <si>
    <t>Aviation is one of those areas where AI can help, but only if the claims survive contact with safety, throughput, reliability, and emissions. That is where this book keeps its attention.</t>
  </si>
  <si>
    <t>JH-AI-EBOOK-03</t>
  </si>
  <si>
    <t>03. AI in Aviation.pdf</t>
  </si>
  <si>
    <t>AI in Maritime: Revolutionizing Shipping for Sustainability</t>
  </si>
  <si>
    <t>A no-hype introduction to AI in Maritime, built around real applications, limits, and better judgement.</t>
  </si>
  <si>
    <t>A guide to AI in maritime shipping — autonomous vessels, route optimisation, emissions tracking, and how intelligent technology is making global shipping more sustainable.</t>
  </si>
  <si>
    <t>A guide to AI in maritime shipping — autonomous vessels, route optimisation, emissions tracking, and how intelligent technology is making global shipping more sustainable. The focus stays on how AI changes the day-to-day reality of Maritime: the tooling, the judgement calls, and the parts that still need a human spine.</t>
  </si>
  <si>
    <t>Transportation | AI in Maritime: Revolutionizing Shipping for Sustainability | AI Trends | Artificial Intelligence</t>
  </si>
  <si>
    <t>A practical overview of AI in Maritime for operators, planners, analysts, product teams, and readers tracking mobility systems.</t>
  </si>
  <si>
    <t>Suits readers who want to understand how AI changes Maritime in practice, especially operators, planners, analysts, product teams, and readers tracking mobility systems looking for grounded examples and fewer slogans.</t>
  </si>
  <si>
    <t>It shows where AI fits inside Maritime, what has to change underneath for it to work, where the risks hide, and which outcomes are realistic rather than merely well-marketed.</t>
  </si>
  <si>
    <t>AI is not arriving in Maritime as a parlour trick. It changes how organisations handle safety, throughput, reliability, and emissions, so the boring details matter more than the slogans.</t>
  </si>
  <si>
    <t>JH-AI-EBOOK-05</t>
  </si>
  <si>
    <t>05. AI in Maritime.pdf</t>
  </si>
  <si>
    <t>Artificial Intelligence in Pharmaceuticals: Revolutionizing Healthcare</t>
  </si>
  <si>
    <t>A plain-English guide to AI in Pharmaceuticals, focused on practical use, trade-offs, and sharper questions.</t>
  </si>
  <si>
    <t>Artificial intelligence accelerates drug discovery, optimizes clinical trials, and personalizes treatments.</t>
  </si>
  <si>
    <t>Artificial intelligence accelerates drug discovery, optimizes clinical trials, and personalizes treatments. This book follows the workflows, trade-offs, and decision points shaping Pharmaceuticals, so readers can separate useful systems from glossy nonsense.</t>
  </si>
  <si>
    <t>Healthcare | Artificial Intelligence in Pharmaceuticals: Revolutionizing Healthcare | AI Trends | Artificial Intelligence</t>
  </si>
  <si>
    <t>Readers who want a grounded, non-technical view of AI in Pharmaceuticals, including clinicians, healthcare managers, founders, analysts, and readers tracking care delivery.</t>
  </si>
  <si>
    <t>Best for people weighing real adoption choices in Pharmaceuticals. It is written for clinicians, healthcare managers, founders, analysts, and readers tracking care delivery who want practical context rather than brochure copy.</t>
  </si>
  <si>
    <t>It covers the main use cases, the workflow and data changes behind them, the claims worth taking seriously, and the governance questions that show up once AI starts steering decisions in Pharmaceuticals.</t>
  </si>
  <si>
    <t>Because decisions in Pharmaceuticals affect outcomes, safety, workload, and trust. Once AI enters the loop, sloppy assumptions get expensive very quickly.</t>
  </si>
  <si>
    <t>JH-AI-EBOOK-15</t>
  </si>
  <si>
    <t>15. Artificial intelligence in Pharmaceuticals.pdf</t>
  </si>
  <si>
    <t>Artificial intelligence in Pharmaceuticals: Revolutionizing Healthcare</t>
  </si>
  <si>
    <t>The Autonomous Revolution: Artificial Intelligence and the Future of the Automotive Industry</t>
  </si>
  <si>
    <t>A grounded look at AI in the automotive industry, covering what works, what wobbles, and what matters in practice.</t>
  </si>
  <si>
    <t>A guide to AI in the automotive industry — autonomous vehicles, predictive maintenance, smart manufacturing, and how artificial intelligence is reshaping personal mobility.</t>
  </si>
  <si>
    <t>A guide to AI in the automotive industry — autonomous vehicles, predictive maintenance, smart manufacturing, and how artificial intelligence is reshaping personal mobility. It looks at where AI is already earning its keep in the automotive industry, where the claims run ahead of the evidence, and what sensible adoption actually looks like.</t>
  </si>
  <si>
    <t>Transportation | The Autonomous Revolution: Artificial Intelligence and the Future of the Automotive Industry | AI Trends | Artificial Intelligence</t>
  </si>
  <si>
    <t>A clear, no-hype briefing on AI in the automotive industry for operators, planners, analysts, product teams, and readers tracking mobility systems.</t>
  </si>
  <si>
    <t>Written for operators, planners, analysts, product teams, and readers tracking mobility systems who need a clearer read on what AI can and cannot do in the automotive industry, without wading through technical theatre.</t>
  </si>
  <si>
    <t>It maps the practical applications, the operational pinch points, the decision workflows, and the reliability questions that appear when AI moves from demo to deployment in the automotive industry.</t>
  </si>
  <si>
    <t>The automotive industry is one of those areas where AI can help, but only if the claims survive contact with safety, throughput, reliability, and emissions. That is where this book keeps its attention.</t>
  </si>
  <si>
    <t>JH-AI-EBOOK-33</t>
  </si>
  <si>
    <t>26. The Autonomous Revolution.pdf</t>
  </si>
  <si>
    <t>Artificial Intelligence Powered Retail: Revolutionizing Customer Experience for a Sustainable Future</t>
  </si>
  <si>
    <t>A no-hype introduction to AI in Retail, built around real applications, limits, and better judgement.</t>
  </si>
  <si>
    <t>A guide to AI in retail — personalisation, inventory optimisation, sustainable supply chains, and how intelligent systems are transforming the customer experience.</t>
  </si>
  <si>
    <t>A guide to AI in retail — personalisation, inventory optimisation, sustainable supply chains, and how intelligent systems are transforming the customer experience. The focus stays on how AI changes the day-to-day reality of Retail: the tooling, the judgement calls, and the parts that still need a human spine.</t>
  </si>
  <si>
    <t>Retail</t>
  </si>
  <si>
    <t>Retail | Artificial Intelligence | AI Trends</t>
  </si>
  <si>
    <t>Retail | Artificial Intelligence Powered Retail: Revolutionizing Customer Experience for a Sustainable Future | AI Trends | Artificial Intelligence</t>
  </si>
  <si>
    <t>A practical overview of AI in Retail for retail operators, ecommerce teams, merchandisers, and readers tracking customer experience.</t>
  </si>
  <si>
    <t>Suits readers who want to understand how AI changes Retail in practice, especially retail operators, ecommerce teams, merchandisers, and readers tracking customer experience looking for grounded examples and fewer slogans.</t>
  </si>
  <si>
    <t>It shows where AI fits inside Retail, what has to change underneath for it to work, where the risks hide, and which outcomes are realistic rather than merely well-marketed.</t>
  </si>
  <si>
    <t>Where AI is already being used in retail today — and where the claims are running ahead of reality. | The workflows, systems, and trade-offs behind practical retail use cases, explained in plain English. | Key themes including personalisation, inventory, forecasting, customer experience. | The limits, risks, and awkward questions worth asking before you sign off on the sales pitch.</t>
  </si>
  <si>
    <t>AI is not arriving in Retail as a parlour trick. It changes how organisations handle margin, customer trust, and operational efficiency, so the boring details matter more than the slogans.</t>
  </si>
  <si>
    <t>JH-AI-EBOOK-18</t>
  </si>
  <si>
    <t>18. Artificial Intelligence Powered Retail.pdf</t>
  </si>
  <si>
    <t>Artificial intelligence Powered Retail: Revolutionizing Customer Experience for a Sustainable Future</t>
  </si>
  <si>
    <t>Artificial Intelligence Revolution in Manufacturing: Modernizing Operations, Maintenance, and Service Delivery</t>
  </si>
  <si>
    <t>A plain-English guide to AI in Manufacturing, focused on practical use, trade-offs, and sharper questions.</t>
  </si>
  <si>
    <t>A guide to AI in manufacturing — predictive maintenance, automated production, optimised supply chains, and how intelligent operations are reshaping modern industry.</t>
  </si>
  <si>
    <t>A guide to AI in manufacturing — predictive maintenance, automated production, optimised supply chains, and how intelligent operations are reshaping modern industry. This book follows the workflows, trade-offs, and decision points shaping Manufacturing, so readers can separate useful systems from glossy nonsense.</t>
  </si>
  <si>
    <t>Manufacturing</t>
  </si>
  <si>
    <t>Manufacturing | Artificial Intelligence | AI Trends</t>
  </si>
  <si>
    <t>Manufacturing | Artificial Intelligence Revolution in Manufacturing: Modernizing Operations, Maintenance, and Service Delivery | AI Trends | Artificial Intelligence</t>
  </si>
  <si>
    <t>Readers who want a grounded, non-technical view of AI in Manufacturing, including operations leaders, plant teams, engineers, and readers tracking industrial automation.</t>
  </si>
  <si>
    <t>Best for people weighing real adoption choices in Manufacturing. It is written for operations leaders, plant teams, engineers, and readers tracking industrial automation who want practical context rather than brochure copy.</t>
  </si>
  <si>
    <t>It covers the main use cases, the workflow and data changes behind them, the claims worth taking seriously, and the governance questions that show up once AI starts steering decisions in Manufacturing.</t>
  </si>
  <si>
    <t>Where AI is already being used in manufacturing today — and where the claims are running ahead of reality. | The workflows, systems, and trade-offs behind practical manufacturing use cases, explained in plain English. | Key themes including predictive maintenance, quality control, automation, supply chains. | The limits, risks, and awkward questions worth asking before you sign off on the sales pitch.</t>
  </si>
  <si>
    <t>Because decisions in Manufacturing affect uptime, throughput, quality, and worker safety. Once AI enters the loop, sloppy assumptions get expensive very quickly.</t>
  </si>
  <si>
    <t>JH-AI-EBOOK-19</t>
  </si>
  <si>
    <t>19. Artificial Intelligence Revolution in Manufacturing Modernizing.pdf</t>
  </si>
  <si>
    <t>Artificial Intelligence in Industry: A Comprehensive Guide</t>
  </si>
  <si>
    <t>A grounded look at AI in Industry, covering what works, what wobbles, and what matters in practice.</t>
  </si>
  <si>
    <t>A comprehensive guide to artificial intelligence applications across industries, covering automation, analytics, and ethical considerations.</t>
  </si>
  <si>
    <t>A comprehensive guide to artificial intelligence applications across industries, covering automation, analytics, and ethical considerations. It looks at where AI is already earning its keep in Industry, where the claims run ahead of the evidence, and what sensible adoption actually looks like.</t>
  </si>
  <si>
    <t>Industry</t>
  </si>
  <si>
    <t>Industry | Artificial Intelligence | AI Trends</t>
  </si>
  <si>
    <t>Industry | Artificial Intelligence in Industry: A Comprehensive Guide | AI Trends | Artificial Intelligence</t>
  </si>
  <si>
    <t>A clear, no-hype briefing on AI in Industry for operations leaders, analysts, engineers, and readers tracking industrial change.</t>
  </si>
  <si>
    <t>Written for operations leaders, analysts, engineers, and readers tracking industrial change who need a clearer read on what AI can and cannot do in Industry, without wading through technical theatre.</t>
  </si>
  <si>
    <t>It maps the practical applications, the operational pinch points, the decision workflows, and the reliability questions that appear when AI moves from demo to deployment in Industry.</t>
  </si>
  <si>
    <t>Where AI is already being used in industry today — and where the claims are running ahead of reality. | The workflows, systems, and trade-offs behind practical industry use cases, explained in plain English. | Key themes including industry, artificial intelligence, ai trends. | The limits, risks, and awkward questions worth asking before you sign off on the sales pitch.</t>
  </si>
  <si>
    <t>Industry is one of those areas where AI can help, but only if the claims survive contact with output, maintenance, labour, and reliability. That is where this book keeps its attention.</t>
  </si>
  <si>
    <t>JH-AI-EBOOK-13</t>
  </si>
  <si>
    <t>13. Artificial Intelligence in Industry.pdf</t>
  </si>
  <si>
    <t>The Dumbening: How AI is Reshaping Our Minds</t>
  </si>
  <si>
    <t>A no-hype introduction to how AI shapes attention and thinking, built around real applications, limits, and better judgement.</t>
  </si>
  <si>
    <t>Examines AI's impact on cognition, exploring how automation and digital reliance may alter human thinking, creativity, and decision-making.</t>
  </si>
  <si>
    <t>Examines AI's impact on cognition, exploring how automation and digital reliance may alter human thinking, creativity, and decision-making. The focus stays on how AI shapes attention and thinking in day-to-day life: the tooling, the judgement calls, and the parts that still need a human spine.</t>
  </si>
  <si>
    <t>Ethics</t>
  </si>
  <si>
    <t>Ethics | Artificial Intelligence | AI Trends</t>
  </si>
  <si>
    <t>Ethics | The Dumbening: How AI is Reshaping Our Minds | AI Trends | Artificial Intelligence</t>
  </si>
  <si>
    <t>A practical overview of how AI shapes attention and thinking for policy readers, educators, sceptics, and anyone thinking about AI's social consequences.</t>
  </si>
  <si>
    <t>Suits readers who want to understand how AI shapes attention and thinking in practice, especially policy readers, educators, sceptics, and anyone thinking about AI's social consequences looking for grounded examples and fewer slogans.</t>
  </si>
  <si>
    <t>It shows how AI affects attention and thinking, what has to change underneath for it to work, where the risks hide, and which outcomes are realistic rather than merely well-marketed.</t>
  </si>
  <si>
    <t>Where AI is already being used in ethics today — and where the claims are running ahead of reality. | The workflows, systems, and trade-offs behind practical ethics use cases, explained in plain English. | Key themes including ethics, artificial intelligence, ai trends. | The limits, risks, and awkward questions worth asking before you sign off on the sales pitch.</t>
  </si>
  <si>
    <t>AI is not just arriving as a parlour trick. It changes attention, judgement, autonomy, and social trust, so the boring details matter more than the slogans.</t>
  </si>
  <si>
    <t>JH-AI-EBOOK-34</t>
  </si>
  <si>
    <t>27. The Dumbening.pdf</t>
  </si>
  <si>
    <t>AI in Agriculture: Revolutionizing Farming for a Sustainable Future</t>
  </si>
  <si>
    <t>A plain-English guide to AI in Agriculture, focused on practical use, trade-offs, and sharper questions.</t>
  </si>
  <si>
    <t>Artificial intelligence transforms agriculture with precision farming, crop monitoring, and predictive analytics, enhancing yields and sustainability.</t>
  </si>
  <si>
    <t>Artificial intelligence transforms agriculture with precision farming, crop monitoring, and predictive analytics, enhancing yields and sustainability. This book follows the workflows, trade-offs, and decision points shaping Agriculture, so readers can separate useful systems from glossy nonsense.</t>
  </si>
  <si>
    <t>Agriculture</t>
  </si>
  <si>
    <t>Agriculture | Artificial Intelligence | AI Trends</t>
  </si>
  <si>
    <t>Agriculture | AI in Agriculture: Revolutionizing Farming for a Sustainable Future | AI Trends | Artificial Intelligence</t>
  </si>
  <si>
    <t>Readers who want a grounded, non-technical view of AI in Agriculture, including farm operators, ag-tech teams, sustainability readers, and policy-minded observers.</t>
  </si>
  <si>
    <t>Best for people weighing real adoption choices in Agriculture. It is written for farm operators, ag-tech teams, sustainability readers, and policy-minded observers who want practical context rather than brochure copy.</t>
  </si>
  <si>
    <t>It covers the main use cases, the workflow and data changes behind them, the claims worth taking seriously, and the governance questions that show up once AI starts steering decisions in Agriculture.</t>
  </si>
  <si>
    <t>Where AI is already being used in agriculture today — and where the claims are running ahead of reality. | The workflows, systems, and trade-offs behind practical agriculture use cases, explained in plain English. | Key themes including agriculture, artificial intelligence, ai trends. | The limits, risks, and awkward questions worth asking before you sign off on the sales pitch.</t>
  </si>
  <si>
    <t>Because decisions in Agriculture affect yield, waste, labour pressure, and sustainability. Once AI enters the loop, sloppy assumptions get expensive very quickly.</t>
  </si>
  <si>
    <t>JH-AI-EBOOK-02</t>
  </si>
  <si>
    <t>02. AI in Agriculture.pdf</t>
  </si>
  <si>
    <t>AI in Education: Reimagining Learning for Every Student</t>
  </si>
  <si>
    <t>A grounded look at AI in Education, covering what works, what wobbles, and what matters in practice.</t>
  </si>
  <si>
    <t>Artificial intelligence personalizes education with adaptive learning, automated grading, and virtual tutors, making education accessible.</t>
  </si>
  <si>
    <t>Artificial intelligence personalizes education with adaptive learning, automated grading, and virtual tutors, making education accessible. It looks at where AI is already earning its keep in Education, where the claims run ahead of the evidence, and what sensible adoption actually looks like.</t>
  </si>
  <si>
    <t>Education</t>
  </si>
  <si>
    <t>Education | Artificial Intelligence | AI Trends</t>
  </si>
  <si>
    <t>Education | AI in Education: Reimagining Learning for Every Student | AI Trends | Artificial Intelligence</t>
  </si>
  <si>
    <t>A clear, no-hype briefing on AI in Education for teachers, school leaders, edtech teams, and readers tracking classroom change.</t>
  </si>
  <si>
    <t>Written for teachers, school leaders, edtech teams, and readers tracking classroom change who need a clearer read on what AI can and cannot do in Education, without wading through technical theatre.</t>
  </si>
  <si>
    <t>It maps the practical applications, the operational pinch points, the decision workflows, and the reliability questions that appear when AI moves from demo to deployment in Education.</t>
  </si>
  <si>
    <t>Where AI is already being used in education today — and where the claims are running ahead of reality. | The workflows, systems, and trade-offs behind practical education use cases, explained in plain English. | Key themes including adaptive learning, assessment, admin automation, access. | The limits, risks, and awkward questions worth asking before you sign off on the sales pitch.</t>
  </si>
  <si>
    <t>Education is one of those areas where AI can help, but only if the claims survive contact with student outcomes, teacher workload, and equity. That is where this book keeps its attention.</t>
  </si>
  <si>
    <t>JH-AI-EBOOK-04</t>
  </si>
  <si>
    <t>04. AI in Education.pdf</t>
  </si>
  <si>
    <t>Artificial Intelligence in Banking: Revolutionizing Finance and Data Security</t>
  </si>
  <si>
    <t>A no-hype introduction to AI in Banking, built around real applications, limits, and better judgement.</t>
  </si>
  <si>
    <t>A guide to AI in banking — from fraud detection and personalised services to secure data management and regulatory compliance.</t>
  </si>
  <si>
    <t>A guide to AI in banking — from fraud detection and personalised services to secure data management and regulatory compliance. The focus stays on how AI changes the day-to-day reality of Banking: the tooling, the judgement calls, and the parts that still need a human spine.</t>
  </si>
  <si>
    <t>Finance</t>
  </si>
  <si>
    <t>Finance | Artificial Intelligence | AI Trends</t>
  </si>
  <si>
    <t>Finance | Artificial Intelligence in Banking: Revolutionizing Finance and Data Security | AI Trends | Artificial Intelligence</t>
  </si>
  <si>
    <t>A practical overview of AI in Banking for bankers, risk teams, fintech readers, and anyone tracking financial infrastructure.</t>
  </si>
  <si>
    <t>Suits readers who want to understand how AI changes Banking in practice, especially bankers, risk teams, fintech readers, and anyone tracking financial infrastructure looking for grounded examples and fewer slogans.</t>
  </si>
  <si>
    <t>It shows where AI fits inside Banking, what has to change underneath for it to work, where the risks hide, and which outcomes are realistic rather than merely well-marketed.</t>
  </si>
  <si>
    <t>Where AI is already being used in finance today — and where the claims are running ahead of reality. | The workflows, systems, and trade-offs behind practical finance use cases, explained in plain English. | Key themes including fraud detection, risk scoring, compliance, personalisation. | The limits, risks, and awkward questions worth asking before you sign off on the sales pitch.</t>
  </si>
  <si>
    <t>AI is not arriving in Banking as a parlour trick. It changes how organisations handle risk, fraud, compliance, and customer trust, so the boring details matter more than the slogans.</t>
  </si>
  <si>
    <t>JH-AI-EBOOK-11</t>
  </si>
  <si>
    <t>11. Artificial Intelligence in Banking Revolutionizing Finance and Data Security.pdf</t>
  </si>
  <si>
    <t>Digital Diagnosis: How AI is Revolutionizing Healthcare</t>
  </si>
  <si>
    <t>A plain-English guide to AI in healthcare, focused on practical use, trade-offs, and sharper questions.</t>
  </si>
  <si>
    <t>Artificial intelligence transforms healthcare with diagnostic tools, predictive analytics, and personalized treatments, improving patient outcomes.</t>
  </si>
  <si>
    <t>Artificial intelligence transforms healthcare with diagnostic tools, predictive analytics, and personalized treatments, improving patient outcomes. This book follows the workflows, trade-offs, and decision points shaping healthcare, so readers can separate useful systems from glossy nonsense.</t>
  </si>
  <si>
    <t>Healthcare | Digital Diagnosis: How AI is Revolutionizing Healthcare | AI Trends | Artificial Intelligence</t>
  </si>
  <si>
    <t>Readers who want a grounded, non-technical view of AI in healthcare, including clinicians, healthcare managers, founders, analysts, and readers tracking care delivery.</t>
  </si>
  <si>
    <t>Best for people weighing real adoption choices in healthcare. It is written for clinicians, healthcare managers, founders, analysts, and readers tracking care delivery who want practical context rather than brochure copy.</t>
  </si>
  <si>
    <t>It covers the main use cases, the workflow and data changes behind them, the claims worth taking seriously, and the governance questions that show up once AI starts steering decisions in healthcare.</t>
  </si>
  <si>
    <t>Because decisions in healthcare affect outcomes, safety, workload, and trust. Once AI enters the loop, sloppy assumptions get expensive very quickly.</t>
  </si>
  <si>
    <t>JH-AI-EBOOK-23</t>
  </si>
  <si>
    <t>22. Digital Diagnosis.pdf</t>
  </si>
  <si>
    <t>Artificial Intelligence in Construction: Building a Sustainable Future</t>
  </si>
  <si>
    <t>A grounded look at AI in Construction, covering what works, what wobbles, and what matters in practice.</t>
  </si>
  <si>
    <t>Artificial intelligence optimizes construction with project planning, safety monitoring, and sustainable design, reducing costs.</t>
  </si>
  <si>
    <t>Artificial intelligence optimizes construction with project planning, safety monitoring, and sustainable design, reducing costs. It looks at where AI is already earning its keep in Construction, where the claims run ahead of the evidence, and what sensible adoption actually looks like.</t>
  </si>
  <si>
    <t>Construction</t>
  </si>
  <si>
    <t>Construction | Artificial Intelligence | AI Trends</t>
  </si>
  <si>
    <t>Construction | Artificial Intelligence in Construction: Building a Sustainable Future | AI Trends | Artificial Intelligence</t>
  </si>
  <si>
    <t>A clear, no-hype briefing on AI in Construction for developers, site managers, architects, and readers tracking the built environment.</t>
  </si>
  <si>
    <t>Written for developers, site managers, architects, and readers tracking the built environment who need a clearer read on what AI can and cannot do in Construction, without wading through technical theatre.</t>
  </si>
  <si>
    <t>It maps the practical applications, the operational pinch points, the decision workflows, and the reliability questions that appear when AI moves from demo to deployment in Construction.</t>
  </si>
  <si>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</si>
  <si>
    <t>Construction is one of those areas where AI can help, but only if the claims survive contact with cost, safety, scheduling, and energy use. That is where this book keeps its attention.</t>
  </si>
  <si>
    <t>JH-AI-EBOOK-12</t>
  </si>
  <si>
    <t>12. Artificial intelligence in Construction.pdf</t>
  </si>
  <si>
    <t>Artificial intelligence in Construction: Building a Sustainable Future</t>
  </si>
  <si>
    <t>The Artificial Intelligence Job Shift: Navigating the Future of Work</t>
  </si>
  <si>
    <t>A no-hype introduction to AI in the future of work, built around real applications, limits, and better judgement.</t>
  </si>
  <si>
    <t>Explores AI's impact on employment, offering strategies to navigate job automation, reskilling, and emerging career opportunities.</t>
  </si>
  <si>
    <t>Explores AI's impact on employment, offering strategies to navigate job automation, reskilling, and emerging career opportunities. The focus stays on how AI changes the day-to-day reality of the future of work: the tooling, the judgement calls, and the parts that still need a human spine.</t>
  </si>
  <si>
    <t>Future of Work</t>
  </si>
  <si>
    <t>Future of Work | Artificial Intelligence | AI Trends</t>
  </si>
  <si>
    <t>Future of Work | The Artificial Intelligence Job Shift: Navigating the Future of Work | AI Trends | Artificial Intelligence</t>
  </si>
  <si>
    <t>A practical overview of AI in the future of work for managers, workers, founders, and readers tracking labour-market change.</t>
  </si>
  <si>
    <t>Suits readers who want to understand how AI changes the future of work in practice, especially managers, workers, founders, and readers tracking labour-market change looking for grounded examples and fewer slogans.</t>
  </si>
  <si>
    <t>It shows where AI fits inside the future of work, what has to change underneath for it to work, where the risks hide, and which outcomes are realistic rather than merely well-marketed.</t>
  </si>
  <si>
    <t>Where AI is already being used in future of work today — and where the claims are running ahead of reality. | The workflows, systems, and trade-offs behind practical future of work use cases, explained in plain English. | Key themes including automation, reskilling, productivity, labour markets. | The limits, risks, and awkward questions worth asking before you sign off on the sales pitch.</t>
  </si>
  <si>
    <t>AI is not arriving in the future of work as a parlour trick. It changes how organisations handle jobs, skills, bargaining power, and organisational design, so the boring details matter more than the slogans.</t>
  </si>
  <si>
    <t>JH-AI-EBOOK-31</t>
  </si>
  <si>
    <t>24. The Artificial Intelligence Job Shift.pdf</t>
  </si>
  <si>
    <t>The Future of Government: Leveraging AI to Enhance Services and Safeguard Information</t>
  </si>
  <si>
    <t>A plain-English guide to AI in government, focused on practical use, trade-offs, and sharper questions.</t>
  </si>
  <si>
    <t>Artificial intelligence enhances government services with efficient administration, predictive analytics, and robust cybersecurity.</t>
  </si>
  <si>
    <t>Artificial intelligence enhances government services with efficient administration, predictive analytics, and robust cybersecurity. This book follows the workflows, trade-offs, and decision points shaping government, so readers can separate useful systems from glossy nonsense.</t>
  </si>
  <si>
    <t>Government</t>
  </si>
  <si>
    <t>Government | Artificial Intelligence | AI Trends</t>
  </si>
  <si>
    <t>Government | The Future of Government: Leveraging AI to Enhance Services and Safeguard Information | AI Trends | Artificial Intelligence</t>
  </si>
  <si>
    <t>Readers who want a grounded, non-technical view of AI in government, including public-sector leaders, policy teams, civic-tech readers, and anyone tracking state capacity.</t>
  </si>
  <si>
    <t>Best for people weighing real adoption choices in government. It is written for public-sector leaders, policy teams, civic-tech readers, and anyone tracking state capacity who want practical context rather than brochure copy.</t>
  </si>
  <si>
    <t>It covers the main use cases, the workflow and data changes behind them, the claims worth taking seriously, and the governance questions that show up once AI starts steering decisions in government.</t>
  </si>
  <si>
    <t>Where AI is already being used in government today — and where the claims are running ahead of reality. | The workflows, systems, and trade-offs behind practical government use cases, explained in plain English. | Key themes including service delivery, fraud prevention, policy analysis, public trust. | The limits, risks, and awkward questions worth asking before you sign off on the sales pitch.</t>
  </si>
  <si>
    <t>Because decisions in government affect service quality, accountability, privacy, and public trust. Once AI enters the loop, sloppy assumptions get expensive very quickly.</t>
  </si>
  <si>
    <t>JH-AI-EBOOK-35</t>
  </si>
  <si>
    <t>28. The Future of Government.pdf</t>
  </si>
  <si>
    <t>Smart Buildings: AI-Powered Efficiency and Sustainability</t>
  </si>
  <si>
    <t>A grounded look at AI in smart buildings, covering what works, what wobbles, and what matters in practice.</t>
  </si>
  <si>
    <t>A guide to AI in smart buildings — automated energy management, predictive maintenance, occupant comfort systems, and how intelligent infrastructure reduces costs and carbon.</t>
  </si>
  <si>
    <t>A guide to AI in smart buildings — automated energy management, predictive maintenance, occupant comfort systems, and how intelligent infrastructure reduces costs and carbon. It looks at where AI is already earning its keep in smart buildings, where the claims run ahead of the evidence, and what sensible adoption actually looks like.</t>
  </si>
  <si>
    <t>Construction | Smart Buildings: AI-Powered Efficiency and Sustainability | AI Trends | Artificial Intelligence</t>
  </si>
  <si>
    <t>A clear, no-hype briefing on AI in smart buildings for developers, site managers, architects, and readers tracking the built environment.</t>
  </si>
  <si>
    <t>Written for developers, site managers, architects, and readers tracking the built environment who need a clearer read on what AI can and cannot do in smart buildings, without wading through technical theatre.</t>
  </si>
  <si>
    <t>It maps the practical applications, the operational pinch points, the decision workflows, and the reliability questions that appear when AI moves from demo to deployment in smart buildings.</t>
  </si>
  <si>
    <t>Smart buildings is one of those areas where AI can help, but only if the claims survive contact with cost, safety, scheduling, and energy use. That is where this book keeps its attention.</t>
  </si>
  <si>
    <t>JH-AI-EBOOK-27</t>
  </si>
  <si>
    <t>23. Smart Buildings.pdf</t>
  </si>
  <si>
    <t>Digital Defense: The Role of AI in Modern Warfare</t>
  </si>
  <si>
    <t>A no-hype introduction to AI in modern warfare, built around real applications, limits, and better judgement.</t>
  </si>
  <si>
    <t>Artificial intelligence transforms warfare with autonomous drones, predictive intelligence, and cybersecurity, reshaping military strategy.</t>
  </si>
  <si>
    <t>Artificial intelligence transforms warfare with autonomous drones, predictive intelligence, and cybersecurity, reshaping military strategy. The focus stays on how AI changes the day-to-day reality of modern warfare: the tooling, the judgement calls, and the parts that still need a human spine.</t>
  </si>
  <si>
    <t>Defence</t>
  </si>
  <si>
    <t>Defence | Artificial Intelligence | AI Trends</t>
  </si>
  <si>
    <t>Defence | Digital Defense: The Role of AI in Modern Warfare | AI Trends | Artificial Intelligence</t>
  </si>
  <si>
    <t>A practical overview of AI in modern warfare for defence analysts, procurement teams, policy readers, and anyone tracking military technology.</t>
  </si>
  <si>
    <t>Suits readers who want to understand how AI changes modern warfare in practice, especially defence analysts, procurement teams, policy readers, and anyone tracking military technology looking for grounded examples and fewer slogans.</t>
  </si>
  <si>
    <t>It shows where AI fits inside modern warfare, what has to change underneath for it to work, where the risks hide, and which outcomes are realistic rather than merely well-marketed.</t>
  </si>
  <si>
    <t>Where AI is already being used in defence today — and where the claims are running ahead of reality. | The workflows, systems, and trade-offs behind practical defence use cases, explained in plain English. | Key themes including defence, artificial intelligence, ai trends. | The limits, risks, and awkward questions worth asking before you sign off on the sales pitch.</t>
  </si>
  <si>
    <t>AI is not arriving in modern warfare as a parlour trick. It changes how organisations handle escalation risk, targeting, accountability, and resilience, so the boring details matter more than the slogans.</t>
  </si>
  <si>
    <t>JH-AI-EBOOK-22</t>
  </si>
  <si>
    <t>21. Digital Defense.pdf</t>
  </si>
  <si>
    <t>Artificial Intelligence for Wildlife Conservation: Revolutionizing Biodiversity Protection through Technology</t>
  </si>
  <si>
    <t>A plain-English guide to AI in Wildlife Conservation, focused on practical use, trade-offs, and sharper questions.</t>
  </si>
  <si>
    <t>A guide to AI in wildlife conservation — habitat monitoring, anti-poaching technology, species identification, and how data-driven tools are protecting biodiversity.</t>
  </si>
  <si>
    <t>A guide to AI in wildlife conservation — habitat monitoring, anti-poaching technology, species identification, and how data-driven tools are protecting biodiversity. This book follows the workflows, trade-offs, and decision points shaping Wildlife Conservation, so readers can separate useful systems from glossy nonsense.</t>
  </si>
  <si>
    <t>Environment</t>
  </si>
  <si>
    <t>Environment | Artificial Intelligence | AI Trends</t>
  </si>
  <si>
    <t>Environment | Artificial Intelligence for Wildlife Conservation: Revolutionizing Biodiversity Protection through Technology | AI Trends | Artificial Intelligence</t>
  </si>
  <si>
    <t>Readers who want a grounded, non-technical view of AI in Wildlife Conservation, including conservation teams, climate readers, policy staff, and sustainability-minded operators.</t>
  </si>
  <si>
    <t>Best for people weighing real adoption choices in Wildlife Conservation. It is written for conservation teams, climate readers, policy staff, and sustainability-minded operators who want practical context rather than brochure copy.</t>
  </si>
  <si>
    <t>It covers the main use cases, the workflow and data changes behind them, the claims worth taking seriously, and the governance questions that show up once AI starts steering decisions in Wildlife Conservation.</t>
  </si>
  <si>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</si>
  <si>
    <t>Because decisions in Wildlife Conservation affect biodiversity, emissions, climate resilience, and scarce resources. Once AI enters the loop, sloppy assumptions get expensive very quickly.</t>
  </si>
  <si>
    <t>JH-AI-EBOOK-10</t>
  </si>
  <si>
    <t>10. Artificial Intelligence for Wildlife.pdf</t>
  </si>
  <si>
    <t>Climate Intelligence: Harnessing AI for a Greener Future</t>
  </si>
  <si>
    <t>A grounded look at AI in climate and environmental strategy, covering what works, what wobbles, and what matters in practice.</t>
  </si>
  <si>
    <t>Artificial intelligence combats climate change with emissions tracking, renewable energy optimization, and predictive environmental modelling.</t>
  </si>
  <si>
    <t>Artificial intelligence combats climate change with emissions tracking, renewable energy optimization, and predictive environmental modelling. It looks at where AI is already earning its keep in climate and environmental strategy, where the claims run ahead of the evidence, and what sensible adoption actually looks like.</t>
  </si>
  <si>
    <t>Environment | Climate Intelligence: Harnessing AI for a Greener Future | AI Trends | Artificial Intelligence</t>
  </si>
  <si>
    <t>A clear, no-hype briefing on AI in climate and environmental strategy for conservation teams, climate readers, policy staff, and sustainability-minded operators.</t>
  </si>
  <si>
    <t>Written for conservation teams, climate readers, policy staff, and sustainability-minded operators who need a clearer read on what AI can and cannot do in climate and environmental strategy, without wading through technical theatre.</t>
  </si>
  <si>
    <t>It maps the practical applications, the operational pinch points, the decision workflows, and the reliability questions that appear when AI moves from demo to deployment in climate and environmental strategy.</t>
  </si>
  <si>
    <t>Climate and environmental strategy is one of those areas where AI can help, but only if the claims survive contact with biodiversity, emissions, climate resilience, and scarce resources. That is where this book keeps its attention.</t>
  </si>
  <si>
    <t>JH-AI-EBOOK-21</t>
  </si>
  <si>
    <t>20. Climate Intelligence Harnessing AI for a Greener Future.pdf</t>
  </si>
  <si>
    <t>AI Revolution in Railways: Modernizing Travel for a Smarter Future</t>
  </si>
  <si>
    <t>A no-hype introduction to AI in AI Revolution in Railways, built around real applications, limits, and better judgement.</t>
  </si>
  <si>
    <t>Artificial intelligence modernizes railways with predictive maintenance, autonomous trains, and optimized scheduling, enhancing safety.</t>
  </si>
  <si>
    <t>Artificial intelligence modernizes railways with predictive maintenance, autonomous trains, and optimized scheduling, enhancing safety. The focus stays on how AI changes the day-to-day reality of AI Revolution in Railways: the tooling, the judgement calls, and the parts that still need a human spine.</t>
  </si>
  <si>
    <t>Transportation | AI Revolution in Railways: Modernizing Travel for a Smarter Future | AI Trends | Artificial Intelligence</t>
  </si>
  <si>
    <t>A practical overview of AI in AI Revolution in Railways for operators, planners, analysts, product teams, and readers tracking mobility systems.</t>
  </si>
  <si>
    <t>Suits readers who want to understand how AI changes AI Revolution in Railways in practice, especially operators, planners, analysts, product teams, and readers tracking mobility systems looking for grounded examples and fewer slogans.</t>
  </si>
  <si>
    <t>It shows where AI fits inside AI Revolution in Railways, what has to change underneath for it to work, where the risks hide, and which outcomes are realistic rather than merely well-marketed.</t>
  </si>
  <si>
    <t>AI is not arriving in AI Revolution in Railways as a parlour trick. It changes how organisations handle safety, throughput, reliability, and emissions, so the boring details matter more than the slogans.</t>
  </si>
  <si>
    <t>JH-AI-EBOOK-07</t>
  </si>
  <si>
    <t>06.AI Revolution in Railways.pdf</t>
  </si>
  <si>
    <t>Artificial Intelligence in Sports: Revolutionizing Performance and Fan Engagement</t>
  </si>
  <si>
    <t>A plain-English guide to AI in Sports, focused on practical use, trade-offs, and sharper questions.</t>
  </si>
  <si>
    <t>Artificial intelligence enhances sports with performance analytics, injury prevention, and immersive fan experiences.</t>
  </si>
  <si>
    <t>Artificial intelligence enhances sports with performance analytics, injury prevention, and immersive fan experiences. This book follows the workflows, trade-offs, and decision points shaping Sports, so readers can separate useful systems from glossy nonsense.</t>
  </si>
  <si>
    <t>Sports</t>
  </si>
  <si>
    <t>Sports | Artificial Intelligence | AI Trends</t>
  </si>
  <si>
    <t>Sports | Artificial Intelligence in Sports: Revolutionizing Performance and Fan Engagement | AI Trends | Artificial Intelligence</t>
  </si>
  <si>
    <t>Readers who want a grounded, non-technical view of AI in Sports, including coaches, analysts, operators, and fans who want the practical view.</t>
  </si>
  <si>
    <t>Best for people weighing real adoption choices in Sports. It is written for coaches, analysts, operators, and fans who want the practical view who want practical context rather than brochure copy.</t>
  </si>
  <si>
    <t>It covers the main use cases, the workflow and data changes behind them, the claims worth taking seriously, and the governance questions that show up once AI starts steering decisions in Sports.</t>
  </si>
  <si>
    <t>Where AI is already being used in sports today — and where the claims are running ahead of reality. | The workflows, systems, and trade-offs behind practical sports use cases, explained in plain English. | Key themes including performance analysis, injury prevention, coaching, fan engagement. | The limits, risks, and awkward questions worth asking before you sign off on the sales pitch.</t>
  </si>
  <si>
    <t>Because decisions in Sports affect performance, injury risk, fan experience, and competitive fairness. Once AI enters the loop, sloppy assumptions get expensive very quickly.</t>
  </si>
  <si>
    <t>JH-AI-EBOOK-16</t>
  </si>
  <si>
    <t>16. Artificial Intelligence in Sports.pdf</t>
  </si>
  <si>
    <t>Lights, Camera, Algorithm: AI’s Role in Modern Filmmaking</t>
  </si>
  <si>
    <t>A grounded look at AI in filmmaking, covering what works, what wobbles, and what matters in practice.</t>
  </si>
  <si>
    <t>Artificial intelligence revolutionizes filmmaking with script analysis, visual effects, and personalized content, streamlining production.</t>
  </si>
  <si>
    <t>Artificial intelligence revolutionizes filmmaking with script analysis, visual effects, and personalized content, streamlining production. It looks at where AI is already earning its keep in filmmaking, where the claims run ahead of the evidence, and what sensible adoption actually looks like.</t>
  </si>
  <si>
    <t>Creativity</t>
  </si>
  <si>
    <t>Creativity | Artificial Intelligence | AI Trends</t>
  </si>
  <si>
    <t>Creativity | Lights, Camera, Algorithm: AI’s Role in Modern Filmmaking | AI Trends | Artificial Intelligence</t>
  </si>
  <si>
    <t>A clear, no-hype briefing on AI in filmmaking for creators, producers, editors, and readers tracking how tools reshape creative work.</t>
  </si>
  <si>
    <t>Written for creators, producers, editors, and readers tracking how tools reshape creative work who need a clearer read on what AI can and cannot do in filmmaking, without wading through technical theatre.</t>
  </si>
  <si>
    <t>It maps the practical applications, the operational pinch points, the decision workflows, and the reliability questions that appear when AI moves from demo to deployment in filmmaking.</t>
  </si>
  <si>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</si>
  <si>
    <t>Filmmaking is one of those areas where AI can help, but only if the claims survive contact with authorship, livelihoods, rights, and creative control. That is where this book keeps its attention.</t>
  </si>
  <si>
    <t>JH-AI-EBOOK-26</t>
  </si>
  <si>
    <t>36. Lights, Camera, Algorithm: AI's Role in Modern Filmmaking.pdf</t>
  </si>
  <si>
    <t>AI in Cinema: Content Creation &amp; Generation</t>
  </si>
  <si>
    <t>The AI Music Revolution: Creativity, Controversy, and Collaboration</t>
  </si>
  <si>
    <t>A no-hype introduction to AI in music, built around real applications, limits, and better judgement.</t>
  </si>
  <si>
    <t>Explores AI's role in music creation, from composition to production, addressing creativity, ethics, and collaboration.</t>
  </si>
  <si>
    <t>Explores AI's role in music creation, from composition to production, addressing creativity, ethics, and collaboration. The focus stays on how AI changes the day-to-day reality of music: the tooling, the judgement calls, and the parts that still need a human spine.</t>
  </si>
  <si>
    <t>Creativity | The AI Music Revolution: Creativity, Controversy, and Collaboration | AI Trends | Artificial Intelligence</t>
  </si>
  <si>
    <t>A practical overview of AI in music for creators, producers, editors, and readers tracking how tools reshape creative work.</t>
  </si>
  <si>
    <t>Suits readers who want to understand how AI changes music in practice, especially creators, producers, editors, and readers tracking how tools reshape creative work looking for grounded examples and fewer slogans.</t>
  </si>
  <si>
    <t>It shows where AI fits inside music, what has to change underneath for it to work, where the risks hide, and which outcomes are realistic rather than merely well-marketed.</t>
  </si>
  <si>
    <t>AI is not arriving in music as a parlour trick. It changes how organisations handle authorship, livelihoods, rights, and creative control, so the boring details matter more than the slogans.</t>
  </si>
  <si>
    <t>JH-AI-EBOOK-29</t>
  </si>
  <si>
    <t>35. The AI Music Revolution Creativity_ Controversy_ and Collaboration.pdf</t>
  </si>
  <si>
    <t>The Architects of AI: Pioneers, Breakthroughs, and the Road Ahead</t>
  </si>
  <si>
    <t>A plain-English guide to AI in the history of artificial intelligence, focused on practical use, trade-offs, and sharper questions.</t>
  </si>
  <si>
    <t>Chronicles AI's pioneers and breakthroughs, exploring the technology's history and future potential in shaping society.</t>
  </si>
  <si>
    <t>Chronicles AI's pioneers and breakthroughs, exploring the technology's history and future potential in shaping society. This book follows the workflows, trade-offs, and decision points shaping the history of artificial intelligence, so readers can separate useful systems from glossy nonsense.</t>
  </si>
  <si>
    <t>History</t>
  </si>
  <si>
    <t>History | Artificial Intelligence | AI Trends</t>
  </si>
  <si>
    <t>History | The Architects of AI: Pioneers, Breakthroughs, and the Road Ahead | AI Trends | Artificial Intelligence</t>
  </si>
  <si>
    <t>Readers who want a grounded, non-technical view of AI in the history of artificial intelligence, including readers who want the backstory, the milestones, and the people behind the field.</t>
  </si>
  <si>
    <t>Best for people weighing real adoption choices in the history of artificial intelligence. It is written for readers who want the backstory, the milestones, and the people behind the field who want practical context rather than brochure copy.</t>
  </si>
  <si>
    <t>It covers the main use cases, the workflow and data changes behind them, the claims worth taking seriously, and the governance questions that show up once AI starts steering decisions in the history of artificial intelligence.</t>
  </si>
  <si>
    <t>Where AI is already being used in history today — and where the claims are running ahead of reality. | The workflows, systems, and trade-offs behind practical history use cases, explained in plain English. | Key themes including history, artificial intelligence, ai trends. | The limits, risks, and awkward questions worth asking before you sign off on the sales pitch.</t>
  </si>
  <si>
    <t>Because decisions in the history of artificial intelligence affect how we explain the field, credit its builders, and judge its turning points. Once AI enters the loop, sloppy assumptions get expensive very quickly.</t>
  </si>
  <si>
    <t>JH-AI-EBOOK-30</t>
  </si>
  <si>
    <t>34. The Architects of AI_ Pioneers_ Breakthroughs_ and the Road Ahead.pdf</t>
  </si>
  <si>
    <t>The House Always Knows: AI, Gambling, and the Ethics of Personalized Gaming</t>
  </si>
  <si>
    <t>A grounded look at AI in ai in gambling, covering what works, what wobbles, and what matters in practice.</t>
  </si>
  <si>
    <t>Examines AI's role in gambling, from personalized gaming to addiction risks, addressing ethical concerns and regulation.</t>
  </si>
  <si>
    <t>Examines AI's role in gambling, from personalized gaming to addiction risks, addressing ethical concerns and regulation. It looks at where AI is already earning its keep in ai in gambling, where the claims run ahead of the evidence, and what sensible adoption actually looks like.</t>
  </si>
  <si>
    <t>Ethics | Artificial Intelligence | AI Trends | Law</t>
  </si>
  <si>
    <t>Ethics | The House Always Knows: AI, Gambling, and the Ethics of Personalized Gaming | AI Trends | Artificial Intelligence | Law</t>
  </si>
  <si>
    <t>A clear, no-hype briefing on AI in ai in gambling for policy readers, educators, sceptics, and anyone thinking about AI's social consequences.</t>
  </si>
  <si>
    <t>Written for policy readers, educators, sceptics, and anyone thinking about AI's social consequences who need a clearer read on what AI can and cannot do in ai in gambling, without wading through technical theatre.</t>
  </si>
  <si>
    <t>It maps the practical applications, the operational pinch points, the decision workflows, and the reliability questions that appear when AI moves from demo to deployment in ai in gambling.</t>
  </si>
  <si>
    <t>Where AI is already being used in ethics today — and where the claims are running ahead of reality. | The workflows, systems, and trade-offs behind practical ethics use cases, explained in plain English. | Key themes including ethics, artificial intelligence, ai trends, law. | The limits, risks, and awkward questions worth asking before you sign off on the sales pitch.</t>
  </si>
  <si>
    <t>Ai in gambling is one of those areas where AI can help, but only if the claims survive contact with autonomy, fairness, consent, and social trust. That is where this book keeps its attention.</t>
  </si>
  <si>
    <t>JH-AI-EBOOK-36</t>
  </si>
  <si>
    <t>33. The House Always Knows_ AI_ Gambling_ and the Ethics of Personalized Gaming.pdf</t>
  </si>
  <si>
    <t>Beyond Earth: How AI is Transforming Space Exploration</t>
  </si>
  <si>
    <t>A no-hype introduction to AI in space exploration, built around real applications, limits, and better judgement.</t>
  </si>
  <si>
    <t>Artificial intelligence advances space exploration with autonomous rovers, data analysis, and mission planning.</t>
  </si>
  <si>
    <t>Artificial intelligence advances space exploration with autonomous rovers, data analysis, and mission planning. The focus stays on how AI changes the day-to-day reality of space exploration: the tooling, the judgement calls, and the parts that still need a human spine.</t>
  </si>
  <si>
    <t>Science</t>
  </si>
  <si>
    <t>Science | Artificial Intelligence | AI Trends</t>
  </si>
  <si>
    <t>Science | Beyond Earth: How AI is Transforming Space Exploration | AI Trends | Artificial Intelligence</t>
  </si>
  <si>
    <t>A practical overview of AI in space exploration for science readers, engineers, mission planners, and anyone tracking research-heavy systems.</t>
  </si>
  <si>
    <t>Suits readers who want to understand how AI changes space exploration in practice, especially science readers, engineers, mission planners, and anyone tracking research-heavy systems looking for grounded examples and fewer slogans.</t>
  </si>
  <si>
    <t>It shows where AI fits inside space exploration, what has to change underneath for it to work, where the risks hide, and which outcomes are realistic rather than merely well-marketed.</t>
  </si>
  <si>
    <t>Where AI is already being used in science today — and where the claims are running ahead of reality. | The workflows, systems, and trade-offs behind practical science use cases, explained in plain English. | Key themes including autonomous systems, mission planning, sensor data, space operations. | The limits, risks, and awkward questions worth asking before you sign off on the sales pitch.</t>
  </si>
  <si>
    <t>AI is not arriving in space exploration as a parlour trick. It changes how organisations handle mission risk, cost, discovery speed, and scientific return, so the boring details matter more than the slogans.</t>
  </si>
  <si>
    <t>JH-AI-EBOOK-20</t>
  </si>
  <si>
    <t>32. Beyond Earth How AI is Transforming Space Exploration-1.pdf</t>
  </si>
  <si>
    <t>From Reporters to Robots: How AI is Reshaping Journalism</t>
  </si>
  <si>
    <t>A plain-English guide to AI in journalism, focused on practical use, trade-offs, and sharper questions.</t>
  </si>
  <si>
    <t>Artificial intelligence transforms journalism with automated reporting, fact-checking, and personalized news, raising questions about bias and trust.</t>
  </si>
  <si>
    <t>Artificial intelligence transforms journalism with automated reporting, fact-checking, and personalized news, raising questions about bias and trust. This book follows the workflows, trade-offs, and decision points shaping journalism, so readers can separate useful systems from glossy nonsense.</t>
  </si>
  <si>
    <t>Media</t>
  </si>
  <si>
    <t>Media | Artificial Intelligence | AI Trends</t>
  </si>
  <si>
    <t>Media | From Reporters to Robots: How AI is Reshaping Journalism | AI Trends | Artificial Intelligence</t>
  </si>
  <si>
    <t>Readers who want a grounded, non-technical view of AI in journalism, including journalists, editors, platform teams, and readers tracking information systems.</t>
  </si>
  <si>
    <t>Best for people weighing real adoption choices in journalism. It is written for journalists, editors, platform teams, and readers tracking information systems who want practical context rather than brochure copy.</t>
  </si>
  <si>
    <t>It covers the main use cases, the workflow and data changes behind them, the claims worth taking seriously, and the governance questions that show up once AI starts steering decisions in journalism.</t>
  </si>
  <si>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</si>
  <si>
    <t>Because decisions in journalism affect information quality, moderation, incentives, and public trust. Once AI enters the loop, sloppy assumptions get expensive very quickly.</t>
  </si>
  <si>
    <t>JH-AI-EBOOK-24</t>
  </si>
  <si>
    <t>31. From Reporters to Robots How AI is Reshaping Journalism.pdf</t>
  </si>
  <si>
    <t>The AI Behind Your Feed: Personalization, Moderation, and the Future of Social Media</t>
  </si>
  <si>
    <t>A grounded look at AI in social media, covering what works, what wobbles, and what matters in practice.</t>
  </si>
  <si>
    <t>Explores AI's role in social media, from content personalization to moderation, and its impact on user experience and privacy.</t>
  </si>
  <si>
    <t>Explores AI's role in social media, from content personalization to moderation, and its impact on user experience and privacy. It looks at where AI is already earning its keep in social media, where the claims run ahead of the evidence, and what sensible adoption actually looks like.</t>
  </si>
  <si>
    <t>Media | The AI Behind Your Feed: Personalization, Moderation, and the Future of Social Media | AI Trends | Artificial Intelligence</t>
  </si>
  <si>
    <t>A clear, no-hype briefing on AI in social media for journalists, editors, platform teams, and readers tracking information systems.</t>
  </si>
  <si>
    <t>Written for journalists, editors, platform teams, and readers tracking information systems who need a clearer read on what AI can and cannot do in social media, without wading through technical theatre.</t>
  </si>
  <si>
    <t>It maps the practical applications, the operational pinch points, the decision workflows, and the reliability questions that appear when AI moves from demo to deployment in social media.</t>
  </si>
  <si>
    <t>Social media is one of those areas where AI can help, but only if the claims survive contact with information quality, moderation, incentives, and public trust. That is where this book keeps its attention.</t>
  </si>
  <si>
    <t>JH-AI-EBOOK-28</t>
  </si>
  <si>
    <t>30. The AI Behind Your Feed Personalization_ Moderation_ and the Future of Social Media.pdf</t>
  </si>
  <si>
    <t>Game AI Unleashed: From Finite State Machines to Machine Learning</t>
  </si>
  <si>
    <t>A no-hype introduction to AI in game development, built around real applications, limits, and better judgement.</t>
  </si>
  <si>
    <t>Chronicles AI's evolution in gaming, from simple state machines to advanced machine learning, enhancing gameplay and immersion.</t>
  </si>
  <si>
    <t>Chronicles AI's evolution in gaming, from simple state machines to advanced machine learning, enhancing gameplay and immersion. The focus stays on how AI changes the day-to-day reality of game development: the tooling, the judgement calls, and the parts that still need a human spine.</t>
  </si>
  <si>
    <t>Gaming</t>
  </si>
  <si>
    <t>Gaming | Artificial Intelligence | AI Trends</t>
  </si>
  <si>
    <t>Gaming | Game AI Unleashed: From Finite State Machines to Machine Learning | AI Trends | Artificial Intelligence</t>
  </si>
  <si>
    <t>A practical overview of AI in game development for game developers, designers, producers, and readers tracking interactive systems.</t>
  </si>
  <si>
    <t>Suits readers who want to understand how AI changes game development in practice, especially game developers, designers, producers, and readers tracking interactive systems looking for grounded examples and fewer slogans.</t>
  </si>
  <si>
    <t>It shows where AI fits inside game development, what has to change underneath for it to work, where the risks hide, and which outcomes are realistic rather than merely well-marketed.</t>
  </si>
  <si>
    <t>Where AI is already being used in gaming today — and where the claims are running ahead of reality. | The workflows, systems, and trade-offs behind practical gaming use cases, explained in plain English. | Key themes including gaming, artificial intelligence, ai trends. | The limits, risks, and awkward questions worth asking before you sign off on the sales pitch.</t>
  </si>
  <si>
    <t>AI is not arriving in game development as a parlour trick. It changes how organisations handle player experience, balance, monetisation, and design complexity, so the boring details matter more than the slogans.</t>
  </si>
  <si>
    <t>JH-AI-EBOOK-25</t>
  </si>
  <si>
    <t>29. Game AI Unleashed - From Finite State Machines to Machine Learning.pdf</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</si>
</sst>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yyyy-mm-dd"/>
  </numFmts>
  <fonts count="16">
    <font>
      <sz val="11.0"/>
      <color/>
      <name val="Arial"/>
      <scheme val="minor"/>
    </font>
    <font>
      <b/>
      <color rgb="FFFFFFFF"/>
      <name val="Calibri"/>
    </font>
    <font>
      <sz val="11.0"/>
      <color/>
      <name val="Calibri"/>
    </font>
    <font>
      <color rgb="FF1F2937"/>
      <name val="Calibri"/>
    </font>
    <font>
      <sz val="10.0"/>
      <color/>
      <name val="Consolas"/>
    </font>
    <font>
      <sz val="10.0"/>
      <color rgb="FF0F172A"/>
      <name val="Consolas"/>
    </font>
    <font>
      <u/>
      <sz val="10.0"/>
      <color rgb="FF065F46"/>
      <name val="Consolas"/>
    </font>
    <font>
      <sz val="10.0"/>
      <color rgb="FF1F2937"/>
      <name val="Consolas"/>
    </font>
    <font>
      <u/>
      <sz val="10.0"/>
      <color rgb="FF065F46"/>
      <name val="Consolas"/>
    </font>
    <font>
      <u/>
      <sz val="10.0"/>
      <color rgb="FF1F2937"/>
      <name val="Consolas"/>
    </font>
    <font>
      <u/>
      <sz val="10.0"/>
      <color rgb="FF1F2937"/>
      <name val="Consolas"/>
    </font>
    <font>
      <b/>
      <sz val="14.0"/>
      <color rgb="FFFFFFFF"/>
      <name val="Calibri"/>
    </font>
    <font/>
    <font>
      <b/>
      <color/>
      <name val="Calibri"/>
    </font>
    <font>
      <u/>
      <sz val="11.0"/>
      <color/>
      <name val="Calibri"/>
    </font>
    <font>
      <u/>
      <sz val="10.0"/>
      <color rgb="FF000000"/>
      <name val="Consolas"/>
    </font>
  </fonts>
  <fills count="7">
    <fill>
      <patternFill patternType="none"/>
    </fill>
    <fill>
      <patternFill patternType="lightGray"/>
    </fill>
    <fill>
      <patternFill patternType="solid">
        <fgColor rgb="FF1F2937"/>
        <bgColor rgb="FF1F2937"/>
      </patternFill>
    </fill>
    <fill>
      <patternFill patternType="solid">
        <fgColor rgb="FF0D1420"/>
        <bgColor rgb="FF0D1420"/>
      </patternFill>
    </fill>
    <fill>
      <patternFill patternType="solid">
        <fgColor rgb="FFF3F4F6"/>
        <bgColor rgb="FFF3F4F6"/>
      </patternFill>
    </fill>
    <fill>
      <patternFill patternType="solid">
        <fgColor rgb="FFDBE5F1"/>
        <bgColor rgb="FFDBE5F1"/>
      </patternFill>
    </fill>
    <fill>
      <patternFill patternType="solid">
        <fgColor rgb="FFFFFFFF"/>
        <bgColor rgb="FFFFFFFF"/>
      </patternFill>
    </fill>
  </fills>
  <borders count="7">
    <border/>
    <border>
      <left/>
      <right/>
      <top/>
      <bottom/>
    </border>
    <border>
      <top style="thin">
        <color rgb="FFD1D5DB"/>
      </top>
      <bottom style="thin">
        <color rgb="FFD1D5DB"/>
      </bottom>
    </border>
    <border>
      <bottom style="thin">
        <color rgb="FFD1D5DB"/>
      </bottom>
    </border>
    <border>
      <left/>
      <top/>
      <bottom/>
    </border>
    <border>
      <top/>
      <bottom/>
    </border>
    <border>
      <right/>
      <top/>
      <bottom/>
    </border>
  </borders>
  <cellStyleXfs count="1">
    <xf borderId="0" fillId="0" fontId="0" numFmtId="0" applyAlignment="1" applyFont="1"/>
  </cellStyleXfs>
  <cellXfs count="37">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0" fontId="2" numFmtId="0" xfId="0" applyFont="1"/>
    <xf borderId="0" fillId="0" fontId="2" numFmtId="0" xfId="0" applyAlignment="1" applyFont="1">
      <alignment shrinkToFit="0" vertical="top" wrapText="1"/>
    </xf>
    <xf borderId="1" fillId="3" fontId="1" numFmtId="0" xfId="0" applyAlignment="1" applyBorder="1" applyFill="1" applyFont="1">
      <alignment horizontal="center" shrinkToFit="0" wrapText="1"/>
    </xf>
    <xf borderId="1" fillId="4" fontId="3" numFmtId="0" xfId="0" applyAlignment="1" applyBorder="1" applyFill="1" applyFont="1">
      <alignment horizontal="center" shrinkToFit="0" wrapText="1"/>
    </xf>
    <xf borderId="0" fillId="0" fontId="2" numFmtId="0" xfId="0" applyAlignment="1" applyFont="1">
      <alignment horizontal="center" shrinkToFit="0" wrapText="1"/>
    </xf>
    <xf borderId="2" fillId="0" fontId="1" numFmtId="0" xfId="0" applyAlignment="1" applyBorder="1" applyFont="1">
      <alignment horizontal="center" shrinkToFit="0" vertical="center" wrapText="1"/>
    </xf>
    <xf borderId="3" fillId="5" fontId="4" numFmtId="0" xfId="0" applyAlignment="1" applyBorder="1" applyFill="1" applyFont="1">
      <alignment horizontal="center" shrinkToFit="0" vertical="top" wrapText="1"/>
    </xf>
    <xf borderId="3" fillId="5" fontId="5" numFmtId="0" xfId="0" applyAlignment="1" applyBorder="1" applyFont="1">
      <alignment horizontal="center" shrinkToFit="0" vertical="top" wrapText="1"/>
    </xf>
    <xf borderId="3" fillId="5" fontId="6" numFmtId="0" xfId="0" applyAlignment="1" applyBorder="1" applyFont="1">
      <alignment horizontal="center" shrinkToFit="0" vertical="top" wrapText="1"/>
    </xf>
    <xf borderId="3" fillId="5" fontId="2" numFmtId="0" xfId="0" applyAlignment="1" applyBorder="1" applyFont="1">
      <alignment horizontal="center" shrinkToFit="0" vertical="top" wrapText="1"/>
    </xf>
    <xf borderId="3" fillId="5" fontId="7" numFmtId="0" xfId="0" applyAlignment="1" applyBorder="1" applyFont="1">
      <alignment horizontal="center" shrinkToFit="0" vertical="top" wrapText="1"/>
    </xf>
    <xf borderId="3" fillId="5" fontId="2" numFmtId="1" xfId="0" applyAlignment="1" applyBorder="1" applyFont="1" applyNumberFormat="1">
      <alignment horizontal="center" shrinkToFit="0" vertical="top" wrapText="1"/>
    </xf>
    <xf borderId="3" fillId="5" fontId="2" numFmtId="164" xfId="0" applyAlignment="1" applyBorder="1" applyFont="1" applyNumberFormat="1">
      <alignment horizontal="center" shrinkToFit="0" vertical="top" wrapText="1"/>
    </xf>
    <xf borderId="3" fillId="0" fontId="4" numFmtId="0" xfId="0" applyAlignment="1" applyBorder="1" applyFont="1">
      <alignment horizontal="center" shrinkToFit="0" vertical="top" wrapText="1"/>
    </xf>
    <xf borderId="3" fillId="0" fontId="5" numFmtId="0" xfId="0" applyAlignment="1" applyBorder="1" applyFont="1">
      <alignment horizontal="center" shrinkToFit="0" vertical="top" wrapText="1"/>
    </xf>
    <xf borderId="3" fillId="0" fontId="8" numFmtId="0" xfId="0" applyAlignment="1" applyBorder="1" applyFont="1">
      <alignment horizontal="center" shrinkToFit="0" vertical="top" wrapText="1"/>
    </xf>
    <xf borderId="3" fillId="0" fontId="2" numFmtId="0" xfId="0" applyAlignment="1" applyBorder="1" applyFont="1">
      <alignment horizontal="center" shrinkToFit="0" vertical="top" wrapText="1"/>
    </xf>
    <xf borderId="3" fillId="0" fontId="7" numFmtId="0" xfId="0" applyAlignment="1" applyBorder="1" applyFont="1">
      <alignment horizontal="center" shrinkToFit="0" vertical="top" wrapText="1"/>
    </xf>
    <xf borderId="3" fillId="0" fontId="2" numFmtId="1" xfId="0" applyAlignment="1" applyBorder="1" applyFont="1" applyNumberFormat="1">
      <alignment horizontal="center" shrinkToFit="0" vertical="top" wrapText="1"/>
    </xf>
    <xf borderId="3" fillId="0" fontId="2" numFmtId="164" xfId="0" applyAlignment="1" applyBorder="1" applyFont="1" applyNumberFormat="1">
      <alignment horizontal="center" shrinkToFit="0" vertical="top" wrapText="1"/>
    </xf>
    <xf borderId="3" fillId="0" fontId="9" numFmtId="0" xfId="0" applyAlignment="1" applyBorder="1" applyFont="1">
      <alignment horizontal="center" shrinkToFit="0" vertical="top" wrapText="1"/>
    </xf>
    <xf borderId="3" fillId="5" fontId="10" numFmtId="0" xfId="0" applyAlignment="1" applyBorder="1" applyFont="1">
      <alignment horizontal="center" shrinkToFit="0" vertical="top" wrapText="1"/>
    </xf>
    <xf borderId="4" fillId="3" fontId="11" numFmtId="0" xfId="0" applyBorder="1" applyFont="1"/>
    <xf borderId="5" fillId="0" fontId="12" numFmtId="0" xfId="0" applyBorder="1" applyFont="1"/>
    <xf borderId="6" fillId="0" fontId="12" numFmtId="0" xfId="0" applyBorder="1" applyFont="1"/>
    <xf borderId="3" fillId="4" fontId="13" numFmtId="0" xfId="0" applyBorder="1" applyFont="1"/>
    <xf borderId="3" fillId="6" fontId="14" numFmtId="0" xfId="0" applyBorder="1" applyFill="1" applyFont="1"/>
    <xf borderId="3" fillId="6" fontId="2" numFmtId="0" xfId="0" applyBorder="1" applyFont="1"/>
    <xf borderId="2" fillId="0" fontId="1" numFmtId="0" xfId="0" applyAlignment="1" applyBorder="1" applyFont="1">
      <alignment horizontal="center"/>
    </xf>
    <xf borderId="3" fillId="0" fontId="2" numFmtId="0" xfId="0" applyAlignment="1" applyBorder="1" applyFont="1">
      <alignment shrinkToFit="0" vertical="top" wrapText="1"/>
    </xf>
    <xf borderId="3" fillId="0" fontId="4" numFmtId="0" xfId="0" applyAlignment="1" applyBorder="1" applyFont="1">
      <alignment shrinkToFit="0" vertical="top" wrapText="1"/>
    </xf>
    <xf borderId="3" fillId="0" fontId="2" numFmtId="1" xfId="0" applyAlignment="1" applyBorder="1" applyFont="1" applyNumberFormat="1">
      <alignment shrinkToFit="0" vertical="top" wrapText="1"/>
    </xf>
    <xf borderId="3" fillId="0" fontId="2" numFmtId="164" xfId="0" applyAlignment="1" applyBorder="1" applyFont="1" applyNumberFormat="1">
      <alignment shrinkToFit="0" vertical="top" wrapText="1"/>
    </xf>
    <xf borderId="3" fillId="0" fontId="15" numFmtId="0" xfId="0" applyAlignment="1" applyBorder="1" applyFont="1">
      <alignment shrinkToFit="0" vertical="top" wrapText="1"/>
    </xf>
    <xf borderId="0" fillId="0" fontId="2" numFmtId="164" xfId="0" applyAlignment="1" applyFont="1" applyNumberFormat="1">
      <alignment shrinkToFit="0" vertical="top"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cap="flat" cmpd="sng" w="6350" algn="ctr">
          <a:solidFill>
            <a:schemeClr val="phClr"/>
          </a:solidFill>
          <a:prstDash val="solid"/>
          <a:miter lim="800000"/>
        </a:ln>
        <a:ln cap="flat" cmpd="sng" w="12700" algn="ctr">
          <a:solidFill>
            <a:schemeClr val="phClr"/>
          </a:solidFill>
          <a:prstDash val="solid"/>
          <a:miter lim="800000"/>
        </a:ln>
        <a:ln cap="flat" cmpd="sng" w="19050" algn="ctr">
          <a:solidFill>
            <a:schemeClr val="phClr"/>
          </a:solidFill>
          <a:prstDash val="solid"/>
          <a:miter lim="800000"/>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4.5"/>
    <col customWidth="1" min="2" max="2" width="101.5"/>
    <col customWidth="1" min="3" max="6" width="7.63"/>
  </cols>
  <sheetData>
    <row r="1">
      <c r="A1" s="1" t="s">
        <v>0</v>
      </c>
      <c r="E1" s="2"/>
      <c r="F1" s="2"/>
      <c r="G1" s="2"/>
      <c r="H1" s="2"/>
      <c r="I1" s="2"/>
      <c r="J1" s="2"/>
      <c r="K1" s="2"/>
    </row>
    <row r="2">
      <c r="A2" s="1" t="s">
        <v>1</v>
      </c>
      <c r="B2" s="3" t="s">
        <v>2</v>
      </c>
      <c r="C2" s="2"/>
      <c r="D2" s="2"/>
      <c r="E2" s="2"/>
      <c r="F2" s="2"/>
      <c r="G2" s="2"/>
      <c r="H2" s="2"/>
      <c r="I2" s="2"/>
      <c r="J2" s="2"/>
      <c r="K2" s="2"/>
    </row>
    <row r="3">
      <c r="A3" s="1" t="s">
        <v>3</v>
      </c>
      <c r="B3" s="3" t="s">
        <v>4</v>
      </c>
      <c r="C3" s="2"/>
      <c r="D3" s="2"/>
      <c r="E3" s="2"/>
      <c r="F3" s="2"/>
      <c r="G3" s="2"/>
      <c r="H3" s="2"/>
      <c r="I3" s="2"/>
      <c r="J3" s="2"/>
      <c r="K3" s="2"/>
    </row>
    <row r="4">
      <c r="A4" s="1" t="s">
        <v>5</v>
      </c>
      <c r="B4" s="3" t="s">
        <v>6</v>
      </c>
      <c r="C4" s="2"/>
      <c r="D4" s="2"/>
      <c r="E4" s="2"/>
      <c r="F4" s="2"/>
      <c r="G4" s="2"/>
      <c r="H4" s="2"/>
      <c r="I4" s="2"/>
      <c r="J4" s="2"/>
      <c r="K4" s="2"/>
    </row>
    <row r="5">
      <c r="A5" s="1" t="s">
        <v>7</v>
      </c>
      <c r="B5" s="3" t="s">
        <v>8</v>
      </c>
      <c r="C5" s="2"/>
      <c r="D5" s="2"/>
      <c r="E5" s="2"/>
      <c r="F5" s="2"/>
      <c r="G5" s="2"/>
      <c r="H5" s="2"/>
      <c r="I5" s="2"/>
      <c r="J5" s="2"/>
      <c r="K5" s="2"/>
    </row>
    <row r="6">
      <c r="A6" s="1" t="s">
        <v>9</v>
      </c>
      <c r="B6" s="3" t="s">
        <v>10</v>
      </c>
      <c r="C6" s="2"/>
      <c r="D6" s="2"/>
      <c r="E6" s="2"/>
      <c r="F6" s="2"/>
      <c r="G6" s="2"/>
      <c r="H6" s="2"/>
      <c r="I6" s="2"/>
      <c r="J6" s="2"/>
      <c r="K6" s="2"/>
    </row>
    <row r="7">
      <c r="A7" s="1" t="s">
        <v>11</v>
      </c>
      <c r="B7" s="3" t="s">
        <v>12</v>
      </c>
      <c r="C7" s="2"/>
      <c r="D7" s="2"/>
      <c r="E7" s="2"/>
      <c r="F7" s="2"/>
      <c r="G7" s="2"/>
      <c r="H7" s="2"/>
      <c r="I7" s="2"/>
      <c r="J7" s="2"/>
      <c r="K7" s="2"/>
    </row>
    <row r="8">
      <c r="A8" s="1" t="s">
        <v>13</v>
      </c>
      <c r="B8" s="3" t="s">
        <v>14</v>
      </c>
      <c r="C8" s="2"/>
      <c r="D8" s="2"/>
      <c r="E8" s="2"/>
      <c r="F8" s="2"/>
      <c r="G8" s="2"/>
      <c r="H8" s="2"/>
      <c r="I8" s="2"/>
      <c r="J8" s="2"/>
      <c r="K8" s="2"/>
    </row>
    <row r="9">
      <c r="A9" s="2"/>
      <c r="B9" s="2"/>
      <c r="C9" s="2"/>
      <c r="D9" s="2"/>
      <c r="E9" s="2"/>
      <c r="F9" s="2"/>
      <c r="G9" s="2"/>
      <c r="H9" s="2"/>
      <c r="I9" s="2"/>
      <c r="J9" s="2"/>
      <c r="K9" s="2"/>
    </row>
    <row r="10">
      <c r="A10" s="2"/>
      <c r="B10" s="2"/>
      <c r="C10" s="2"/>
      <c r="D10" s="2"/>
      <c r="E10" s="2"/>
      <c r="F10" s="2"/>
      <c r="G10" s="2"/>
      <c r="H10" s="2"/>
      <c r="I10" s="2"/>
      <c r="J10" s="2"/>
      <c r="K10" s="2"/>
    </row>
    <row r="11">
      <c r="A11" s="2"/>
      <c r="B11" s="2"/>
      <c r="C11" s="2"/>
      <c r="D11" s="2"/>
      <c r="E11" s="2"/>
      <c r="F11" s="2"/>
      <c r="G11" s="2"/>
      <c r="H11" s="2"/>
      <c r="I11" s="2"/>
      <c r="J11" s="2"/>
      <c r="K11" s="2"/>
    </row>
    <row r="12">
      <c r="A12" s="2"/>
      <c r="B12" s="2"/>
      <c r="C12" s="2"/>
      <c r="D12" s="2"/>
      <c r="E12" s="2"/>
      <c r="F12" s="2"/>
      <c r="G12" s="2"/>
      <c r="H12" s="2"/>
      <c r="I12" s="2"/>
      <c r="J12" s="2"/>
      <c r="K12" s="2"/>
    </row>
    <row r="13">
      <c r="A13" s="2"/>
      <c r="B13" s="2"/>
      <c r="C13" s="2"/>
      <c r="D13" s="2"/>
      <c r="E13" s="2"/>
      <c r="F13" s="2"/>
      <c r="G13" s="2"/>
      <c r="H13" s="2"/>
      <c r="I13" s="2"/>
      <c r="J13" s="2"/>
      <c r="K13" s="2"/>
    </row>
    <row r="14">
      <c r="A14" s="2"/>
      <c r="B14" s="2"/>
      <c r="C14" s="2"/>
      <c r="D14" s="2"/>
      <c r="E14" s="2"/>
      <c r="F14" s="2"/>
      <c r="G14" s="2"/>
      <c r="H14" s="2"/>
      <c r="I14" s="2"/>
      <c r="J14" s="2"/>
      <c r="K14" s="2"/>
    </row>
    <row r="15">
      <c r="A15" s="2"/>
      <c r="B15" s="2"/>
      <c r="C15" s="2"/>
      <c r="D15" s="2"/>
      <c r="E15" s="2"/>
      <c r="F15" s="2"/>
      <c r="G15" s="2"/>
      <c r="H15" s="2"/>
      <c r="I15" s="2"/>
      <c r="J15" s="2"/>
      <c r="K15" s="2"/>
    </row>
    <row r="16">
      <c r="A16" s="2"/>
      <c r="B16" s="2"/>
      <c r="C16" s="2"/>
      <c r="D16" s="2"/>
      <c r="E16" s="2"/>
      <c r="F16" s="2"/>
      <c r="G16" s="2"/>
      <c r="H16" s="2"/>
      <c r="I16" s="2"/>
      <c r="J16" s="2"/>
      <c r="K16" s="2"/>
    </row>
    <row r="17">
      <c r="A17" s="2"/>
      <c r="B17" s="2"/>
      <c r="C17" s="2"/>
      <c r="D17" s="2"/>
      <c r="E17" s="2"/>
      <c r="F17" s="2"/>
      <c r="G17" s="2"/>
      <c r="H17" s="2"/>
      <c r="I17" s="2"/>
      <c r="J17" s="2"/>
      <c r="K17" s="2"/>
    </row>
    <row r="18">
      <c r="A18" s="2"/>
      <c r="B18" s="2"/>
      <c r="C18" s="2"/>
      <c r="D18" s="2"/>
      <c r="E18" s="2"/>
      <c r="F18" s="2"/>
      <c r="G18" s="2"/>
      <c r="H18" s="2"/>
      <c r="I18" s="2"/>
      <c r="J18" s="2"/>
      <c r="K18" s="2"/>
    </row>
    <row r="19">
      <c r="A19" s="2"/>
      <c r="B19" s="2"/>
      <c r="C19" s="2"/>
      <c r="D19" s="2"/>
      <c r="E19" s="2"/>
      <c r="F19" s="2"/>
      <c r="G19" s="2"/>
      <c r="H19" s="2"/>
      <c r="I19" s="2"/>
      <c r="J19" s="2"/>
      <c r="K19" s="2"/>
    </row>
    <row r="20">
      <c r="A20" s="2"/>
      <c r="B20" s="2"/>
      <c r="C20" s="2"/>
      <c r="D20" s="2"/>
      <c r="E20" s="2"/>
      <c r="F20" s="2"/>
      <c r="G20" s="2"/>
      <c r="H20" s="2"/>
      <c r="I20" s="2"/>
      <c r="J20" s="2"/>
      <c r="K20" s="2"/>
    </row>
    <row r="21" ht="15.75" customHeight="1">
      <c r="A21" s="2"/>
      <c r="B21" s="2"/>
      <c r="C21" s="2"/>
      <c r="D21" s="2"/>
      <c r="E21" s="2"/>
      <c r="F21" s="2"/>
      <c r="G21" s="2"/>
      <c r="H21" s="2"/>
      <c r="I21" s="2"/>
      <c r="J21" s="2"/>
      <c r="K21" s="2"/>
    </row>
    <row r="22" ht="15.75" customHeight="1">
      <c r="A22" s="2"/>
      <c r="B22" s="2"/>
      <c r="C22" s="2"/>
      <c r="D22" s="2"/>
      <c r="E22" s="2"/>
      <c r="F22" s="2"/>
      <c r="G22" s="2"/>
      <c r="H22" s="2"/>
      <c r="I22" s="2"/>
      <c r="J22" s="2"/>
      <c r="K22" s="2"/>
    </row>
    <row r="23" ht="15.75" customHeight="1">
      <c r="A23" s="2"/>
      <c r="B23" s="2"/>
      <c r="C23" s="2"/>
      <c r="D23" s="2"/>
      <c r="E23" s="2"/>
      <c r="F23" s="2"/>
      <c r="G23" s="2"/>
      <c r="H23" s="2"/>
      <c r="I23" s="2"/>
      <c r="J23" s="2"/>
      <c r="K23" s="2"/>
    </row>
    <row r="24" ht="15.75" customHeight="1">
      <c r="A24" s="2"/>
      <c r="B24" s="2"/>
      <c r="C24" s="2"/>
      <c r="D24" s="2"/>
      <c r="E24" s="2"/>
      <c r="F24" s="2"/>
      <c r="G24" s="2"/>
      <c r="H24" s="2"/>
      <c r="I24" s="2"/>
      <c r="J24" s="2"/>
      <c r="K24" s="2"/>
    </row>
    <row r="25" ht="15.75" customHeight="1">
      <c r="A25" s="2"/>
      <c r="B25" s="2"/>
      <c r="C25" s="2"/>
      <c r="D25" s="2"/>
      <c r="E25" s="2"/>
      <c r="F25" s="2"/>
      <c r="G25" s="2"/>
      <c r="H25" s="2"/>
      <c r="I25" s="2"/>
      <c r="J25" s="2"/>
      <c r="K25" s="2"/>
    </row>
    <row r="26" ht="15.75" customHeight="1">
      <c r="A26" s="2"/>
      <c r="B26" s="2"/>
      <c r="C26" s="2"/>
      <c r="D26" s="2"/>
      <c r="E26" s="2"/>
      <c r="F26" s="2"/>
      <c r="G26" s="2"/>
      <c r="H26" s="2"/>
      <c r="I26" s="2"/>
      <c r="J26" s="2"/>
      <c r="K26" s="2"/>
    </row>
    <row r="27" ht="15.75" customHeight="1">
      <c r="A27" s="2"/>
      <c r="B27" s="2"/>
      <c r="C27" s="2"/>
      <c r="D27" s="2"/>
      <c r="E27" s="2"/>
      <c r="F27" s="2"/>
      <c r="G27" s="2"/>
      <c r="H27" s="2"/>
      <c r="I27" s="2"/>
      <c r="J27" s="2"/>
      <c r="K27" s="2"/>
    </row>
    <row r="28" ht="15.75" customHeight="1">
      <c r="A28" s="2"/>
      <c r="B28" s="2"/>
      <c r="C28" s="2"/>
      <c r="D28" s="2"/>
      <c r="E28" s="2"/>
      <c r="F28" s="2"/>
      <c r="G28" s="2"/>
      <c r="H28" s="2"/>
      <c r="I28" s="2"/>
      <c r="J28" s="2"/>
      <c r="K28" s="2"/>
    </row>
    <row r="29" ht="15.75" customHeight="1">
      <c r="A29" s="2"/>
      <c r="B29" s="2"/>
      <c r="C29" s="2"/>
      <c r="D29" s="2"/>
      <c r="E29" s="2"/>
      <c r="F29" s="2"/>
      <c r="G29" s="2"/>
      <c r="H29" s="2"/>
      <c r="I29" s="2"/>
      <c r="J29" s="2"/>
      <c r="K29" s="2"/>
    </row>
    <row r="30" ht="15.75" customHeight="1">
      <c r="A30" s="2"/>
      <c r="B30" s="2"/>
      <c r="C30" s="2"/>
      <c r="D30" s="2"/>
      <c r="E30" s="2"/>
      <c r="F30" s="2"/>
      <c r="G30" s="2"/>
      <c r="H30" s="2"/>
      <c r="I30" s="2"/>
      <c r="J30" s="2"/>
      <c r="K30" s="2"/>
    </row>
    <row r="31" ht="15.75" customHeight="1">
      <c r="A31" s="2"/>
      <c r="B31" s="2"/>
      <c r="C31" s="2"/>
      <c r="D31" s="2"/>
      <c r="E31" s="2"/>
      <c r="F31" s="2"/>
      <c r="G31" s="2"/>
      <c r="H31" s="2"/>
      <c r="I31" s="2"/>
      <c r="J31" s="2"/>
      <c r="K31" s="2"/>
    </row>
    <row r="32" ht="15.75" customHeight="1">
      <c r="A32" s="2"/>
      <c r="B32" s="2"/>
      <c r="C32" s="2"/>
      <c r="D32" s="2"/>
      <c r="E32" s="2"/>
      <c r="F32" s="2"/>
      <c r="G32" s="2"/>
      <c r="H32" s="2"/>
      <c r="I32" s="2"/>
      <c r="J32" s="2"/>
      <c r="K32" s="2"/>
    </row>
    <row r="33" ht="15.75" customHeight="1">
      <c r="A33" s="2"/>
      <c r="B33" s="2"/>
      <c r="C33" s="2"/>
      <c r="D33" s="2"/>
      <c r="E33" s="2"/>
      <c r="F33" s="2"/>
      <c r="G33" s="2"/>
      <c r="H33" s="2"/>
      <c r="I33" s="2"/>
      <c r="J33" s="2"/>
      <c r="K33" s="2"/>
    </row>
    <row r="34" ht="15.75" customHeight="1">
      <c r="A34" s="2"/>
      <c r="B34" s="2"/>
      <c r="C34" s="2"/>
      <c r="D34" s="2"/>
      <c r="E34" s="2"/>
      <c r="F34" s="2"/>
      <c r="G34" s="2"/>
      <c r="H34" s="2"/>
      <c r="I34" s="2"/>
      <c r="J34" s="2"/>
      <c r="K34" s="2"/>
    </row>
    <row r="35" ht="15.75" customHeight="1">
      <c r="A35" s="2"/>
      <c r="B35" s="2"/>
      <c r="C35" s="2"/>
      <c r="D35" s="2"/>
      <c r="E35" s="2"/>
      <c r="F35" s="2"/>
      <c r="G35" s="2"/>
      <c r="H35" s="2"/>
      <c r="I35" s="2"/>
      <c r="J35" s="2"/>
      <c r="K35" s="2"/>
    </row>
    <row r="36" ht="15.75" customHeight="1">
      <c r="A36" s="2"/>
      <c r="B36" s="2"/>
      <c r="C36" s="2"/>
      <c r="D36" s="2"/>
      <c r="E36" s="2"/>
      <c r="F36" s="2"/>
      <c r="G36" s="2"/>
      <c r="H36" s="2"/>
      <c r="I36" s="2"/>
      <c r="J36" s="2"/>
      <c r="K36" s="2"/>
    </row>
    <row r="37" ht="15.75" customHeight="1">
      <c r="A37" s="2"/>
      <c r="B37" s="2"/>
      <c r="C37" s="2"/>
      <c r="D37" s="2"/>
      <c r="E37" s="2"/>
      <c r="F37" s="2"/>
      <c r="G37" s="2"/>
      <c r="H37" s="2"/>
      <c r="I37" s="2"/>
      <c r="J37" s="2"/>
      <c r="K37" s="2"/>
    </row>
    <row r="38" ht="15.75" customHeight="1">
      <c r="A38" s="2"/>
      <c r="B38" s="2"/>
      <c r="C38" s="2"/>
      <c r="D38" s="2"/>
      <c r="E38" s="2"/>
      <c r="F38" s="2"/>
      <c r="G38" s="2"/>
      <c r="H38" s="2"/>
      <c r="I38" s="2"/>
      <c r="J38" s="2"/>
      <c r="K38" s="2"/>
    </row>
    <row r="39" ht="15.75" customHeight="1">
      <c r="A39" s="2"/>
      <c r="B39" s="2"/>
      <c r="C39" s="2"/>
      <c r="D39" s="2"/>
      <c r="E39" s="2"/>
      <c r="F39" s="2"/>
      <c r="G39" s="2"/>
      <c r="H39" s="2"/>
      <c r="I39" s="2"/>
      <c r="J39" s="2"/>
      <c r="K39" s="2"/>
    </row>
    <row r="40" ht="15.75" customHeight="1">
      <c r="A40" s="2"/>
      <c r="B40" s="2"/>
      <c r="C40" s="2"/>
      <c r="D40" s="2"/>
      <c r="E40" s="2"/>
      <c r="F40" s="2"/>
      <c r="G40" s="2"/>
      <c r="H40" s="2"/>
      <c r="I40" s="2"/>
      <c r="J40" s="2"/>
      <c r="K40" s="2"/>
    </row>
    <row r="41" ht="15.75" customHeight="1">
      <c r="A41" s="2"/>
      <c r="B41" s="2"/>
      <c r="C41" s="2"/>
      <c r="D41" s="2"/>
      <c r="E41" s="2"/>
      <c r="F41" s="2"/>
      <c r="G41" s="2"/>
      <c r="H41" s="2"/>
      <c r="I41" s="2"/>
      <c r="J41" s="2"/>
      <c r="K41" s="2"/>
    </row>
    <row r="42" ht="15.75" customHeight="1">
      <c r="A42" s="2"/>
      <c r="B42" s="2"/>
      <c r="C42" s="2"/>
      <c r="D42" s="2"/>
      <c r="E42" s="2"/>
      <c r="F42" s="2"/>
      <c r="G42" s="2"/>
      <c r="H42" s="2"/>
      <c r="I42" s="2"/>
      <c r="J42" s="2"/>
      <c r="K42" s="2"/>
    </row>
    <row r="43" ht="15.75" customHeight="1">
      <c r="A43" s="2"/>
      <c r="B43" s="2"/>
      <c r="C43" s="2"/>
      <c r="D43" s="2"/>
      <c r="E43" s="2"/>
      <c r="F43" s="2"/>
      <c r="G43" s="2"/>
      <c r="H43" s="2"/>
      <c r="I43" s="2"/>
      <c r="J43" s="2"/>
      <c r="K43" s="2"/>
    </row>
    <row r="44" ht="15.75" customHeight="1">
      <c r="A44" s="2"/>
      <c r="B44" s="2"/>
      <c r="C44" s="2"/>
      <c r="D44" s="2"/>
      <c r="E44" s="2"/>
      <c r="F44" s="2"/>
      <c r="G44" s="2"/>
      <c r="H44" s="2"/>
      <c r="I44" s="2"/>
      <c r="J44" s="2"/>
      <c r="K44" s="2"/>
    </row>
    <row r="45" ht="15.75" customHeight="1">
      <c r="A45" s="2"/>
      <c r="B45" s="2"/>
      <c r="C45" s="2"/>
      <c r="D45" s="2"/>
      <c r="E45" s="2"/>
      <c r="F45" s="2"/>
      <c r="G45" s="2"/>
      <c r="H45" s="2"/>
      <c r="I45" s="2"/>
      <c r="J45" s="2"/>
      <c r="K45" s="2"/>
    </row>
    <row r="46" ht="15.75" customHeight="1">
      <c r="A46" s="2"/>
      <c r="B46" s="2"/>
      <c r="C46" s="2"/>
      <c r="D46" s="2"/>
      <c r="E46" s="2"/>
      <c r="F46" s="2"/>
      <c r="G46" s="2"/>
      <c r="H46" s="2"/>
      <c r="I46" s="2"/>
      <c r="J46" s="2"/>
      <c r="K46" s="2"/>
    </row>
    <row r="47" ht="15.75" customHeight="1">
      <c r="A47" s="2"/>
      <c r="B47" s="2"/>
      <c r="C47" s="2"/>
      <c r="D47" s="2"/>
      <c r="E47" s="2"/>
      <c r="F47" s="2"/>
      <c r="G47" s="2"/>
      <c r="H47" s="2"/>
      <c r="I47" s="2"/>
      <c r="J47" s="2"/>
      <c r="K47" s="2"/>
    </row>
    <row r="48" ht="15.75" customHeight="1">
      <c r="A48" s="2"/>
      <c r="B48" s="2"/>
      <c r="C48" s="2"/>
      <c r="D48" s="2"/>
      <c r="E48" s="2"/>
      <c r="F48" s="2"/>
      <c r="G48" s="2"/>
      <c r="H48" s="2"/>
      <c r="I48" s="2"/>
      <c r="J48" s="2"/>
      <c r="K48" s="2"/>
    </row>
    <row r="49" ht="15.75" customHeight="1">
      <c r="A49" s="2"/>
      <c r="B49" s="2"/>
      <c r="C49" s="2"/>
      <c r="D49" s="2"/>
      <c r="E49" s="2"/>
      <c r="F49" s="2"/>
      <c r="G49" s="2"/>
      <c r="H49" s="2"/>
      <c r="I49" s="2"/>
      <c r="J49" s="2"/>
      <c r="K49" s="2"/>
    </row>
    <row r="50" ht="15.75" customHeight="1">
      <c r="A50" s="2"/>
      <c r="B50" s="2"/>
      <c r="C50" s="2"/>
      <c r="D50" s="2"/>
      <c r="E50" s="2"/>
      <c r="F50" s="2"/>
      <c r="G50" s="2"/>
      <c r="H50" s="2"/>
      <c r="I50" s="2"/>
      <c r="J50" s="2"/>
      <c r="K50" s="2"/>
    </row>
    <row r="51" ht="15.75" customHeight="1">
      <c r="A51" s="2"/>
      <c r="B51" s="2"/>
      <c r="C51" s="2"/>
      <c r="D51" s="2"/>
      <c r="E51" s="2"/>
      <c r="F51" s="2"/>
      <c r="G51" s="2"/>
      <c r="H51" s="2"/>
      <c r="I51" s="2"/>
      <c r="J51" s="2"/>
      <c r="K51" s="2"/>
    </row>
    <row r="52" ht="15.75" customHeight="1">
      <c r="A52" s="2"/>
      <c r="B52" s="2"/>
      <c r="C52" s="2"/>
      <c r="D52" s="2"/>
      <c r="E52" s="2"/>
      <c r="F52" s="2"/>
      <c r="G52" s="2"/>
      <c r="H52" s="2"/>
      <c r="I52" s="2"/>
      <c r="J52" s="2"/>
      <c r="K52" s="2"/>
    </row>
    <row r="53" ht="15.75" customHeight="1">
      <c r="A53" s="2"/>
      <c r="B53" s="2"/>
      <c r="C53" s="2"/>
      <c r="D53" s="2"/>
      <c r="E53" s="2"/>
      <c r="F53" s="2"/>
      <c r="G53" s="2"/>
      <c r="H53" s="2"/>
      <c r="I53" s="2"/>
      <c r="J53" s="2"/>
      <c r="K53" s="2"/>
    </row>
    <row r="54" ht="15.75" customHeight="1">
      <c r="A54" s="2"/>
      <c r="B54" s="2"/>
      <c r="C54" s="2"/>
      <c r="D54" s="2"/>
      <c r="E54" s="2"/>
      <c r="F54" s="2"/>
      <c r="G54" s="2"/>
      <c r="H54" s="2"/>
      <c r="I54" s="2"/>
      <c r="J54" s="2"/>
      <c r="K54" s="2"/>
    </row>
    <row r="55" ht="15.75" customHeight="1">
      <c r="A55" s="2"/>
      <c r="B55" s="2"/>
      <c r="C55" s="2"/>
      <c r="D55" s="2"/>
      <c r="E55" s="2"/>
      <c r="F55" s="2"/>
      <c r="G55" s="2"/>
      <c r="H55" s="2"/>
      <c r="I55" s="2"/>
      <c r="J55" s="2"/>
      <c r="K55" s="2"/>
    </row>
    <row r="56" ht="15.75" customHeight="1">
      <c r="A56" s="2"/>
      <c r="B56" s="2"/>
      <c r="C56" s="2"/>
      <c r="D56" s="2"/>
      <c r="E56" s="2"/>
      <c r="F56" s="2"/>
      <c r="G56" s="2"/>
      <c r="H56" s="2"/>
      <c r="I56" s="2"/>
      <c r="J56" s="2"/>
      <c r="K56" s="2"/>
    </row>
    <row r="57" ht="15.75" customHeight="1">
      <c r="A57" s="2"/>
      <c r="B57" s="2"/>
      <c r="C57" s="2"/>
      <c r="D57" s="2"/>
      <c r="E57" s="2"/>
      <c r="F57" s="2"/>
      <c r="G57" s="2"/>
      <c r="H57" s="2"/>
      <c r="I57" s="2"/>
      <c r="J57" s="2"/>
      <c r="K57" s="2"/>
    </row>
    <row r="58" ht="15.75" customHeight="1">
      <c r="A58" s="2"/>
      <c r="B58" s="2"/>
      <c r="C58" s="2"/>
      <c r="D58" s="2"/>
      <c r="E58" s="2"/>
      <c r="F58" s="2"/>
      <c r="G58" s="2"/>
      <c r="H58" s="2"/>
      <c r="I58" s="2"/>
      <c r="J58" s="2"/>
      <c r="K58" s="2"/>
    </row>
    <row r="59" ht="15.75" customHeight="1">
      <c r="A59" s="2"/>
      <c r="B59" s="2"/>
      <c r="C59" s="2"/>
      <c r="D59" s="2"/>
      <c r="E59" s="2"/>
      <c r="F59" s="2"/>
      <c r="G59" s="2"/>
      <c r="H59" s="2"/>
      <c r="I59" s="2"/>
      <c r="J59" s="2"/>
      <c r="K59" s="2"/>
    </row>
    <row r="60" ht="15.75" customHeight="1">
      <c r="A60" s="2"/>
      <c r="B60" s="2"/>
      <c r="C60" s="2"/>
      <c r="D60" s="2"/>
      <c r="E60" s="2"/>
      <c r="F60" s="2"/>
      <c r="G60" s="2"/>
      <c r="H60" s="2"/>
      <c r="I60" s="2"/>
      <c r="J60" s="2"/>
      <c r="K60" s="2"/>
    </row>
    <row r="61" ht="15.75" customHeight="1">
      <c r="A61" s="2"/>
      <c r="B61" s="2"/>
      <c r="C61" s="2"/>
      <c r="D61" s="2"/>
      <c r="E61" s="2"/>
      <c r="F61" s="2"/>
      <c r="G61" s="2"/>
      <c r="H61" s="2"/>
      <c r="I61" s="2"/>
      <c r="J61" s="2"/>
      <c r="K61" s="2"/>
    </row>
    <row r="62" ht="15.75" customHeight="1">
      <c r="A62" s="2"/>
      <c r="B62" s="2"/>
      <c r="C62" s="2"/>
      <c r="D62" s="2"/>
      <c r="E62" s="2"/>
      <c r="F62" s="2"/>
      <c r="G62" s="2"/>
      <c r="H62" s="2"/>
      <c r="I62" s="2"/>
      <c r="J62" s="2"/>
      <c r="K62" s="2"/>
    </row>
    <row r="63" ht="15.75" customHeight="1">
      <c r="A63" s="2"/>
      <c r="B63" s="2"/>
      <c r="C63" s="2"/>
      <c r="D63" s="2"/>
      <c r="E63" s="2"/>
      <c r="F63" s="2"/>
      <c r="G63" s="2"/>
      <c r="H63" s="2"/>
      <c r="I63" s="2"/>
      <c r="J63" s="2"/>
      <c r="K63" s="2"/>
    </row>
    <row r="64" ht="15.75" customHeight="1">
      <c r="A64" s="2"/>
      <c r="B64" s="2"/>
      <c r="C64" s="2"/>
      <c r="D64" s="2"/>
      <c r="E64" s="2"/>
      <c r="F64" s="2"/>
      <c r="G64" s="2"/>
      <c r="H64" s="2"/>
      <c r="I64" s="2"/>
      <c r="J64" s="2"/>
      <c r="K64" s="2"/>
    </row>
    <row r="65" ht="15.75" customHeight="1">
      <c r="A65" s="2"/>
      <c r="B65" s="2"/>
      <c r="C65" s="2"/>
      <c r="D65" s="2"/>
      <c r="E65" s="2"/>
      <c r="F65" s="2"/>
      <c r="G65" s="2"/>
      <c r="H65" s="2"/>
      <c r="I65" s="2"/>
      <c r="J65" s="2"/>
      <c r="K65" s="2"/>
    </row>
    <row r="66" ht="15.75" customHeight="1">
      <c r="A66" s="2"/>
      <c r="B66" s="2"/>
      <c r="C66" s="2"/>
      <c r="D66" s="2"/>
      <c r="E66" s="2"/>
      <c r="F66" s="2"/>
      <c r="G66" s="2"/>
      <c r="H66" s="2"/>
      <c r="I66" s="2"/>
      <c r="J66" s="2"/>
      <c r="K66" s="2"/>
    </row>
    <row r="67" ht="15.75" customHeight="1">
      <c r="A67" s="2"/>
      <c r="B67" s="2"/>
      <c r="C67" s="2"/>
      <c r="D67" s="2"/>
      <c r="E67" s="2"/>
      <c r="F67" s="2"/>
      <c r="G67" s="2"/>
      <c r="H67" s="2"/>
      <c r="I67" s="2"/>
      <c r="J67" s="2"/>
      <c r="K67" s="2"/>
    </row>
    <row r="68" ht="15.75" customHeight="1">
      <c r="A68" s="2"/>
      <c r="B68" s="2"/>
      <c r="C68" s="2"/>
      <c r="D68" s="2"/>
      <c r="E68" s="2"/>
      <c r="F68" s="2"/>
      <c r="G68" s="2"/>
      <c r="H68" s="2"/>
      <c r="I68" s="2"/>
      <c r="J68" s="2"/>
      <c r="K68" s="2"/>
    </row>
    <row r="69" ht="15.75" customHeight="1">
      <c r="A69" s="2"/>
      <c r="B69" s="2"/>
      <c r="C69" s="2"/>
      <c r="D69" s="2"/>
      <c r="E69" s="2"/>
      <c r="F69" s="2"/>
      <c r="G69" s="2"/>
      <c r="H69" s="2"/>
      <c r="I69" s="2"/>
      <c r="J69" s="2"/>
      <c r="K69" s="2"/>
    </row>
    <row r="70" ht="15.75" customHeight="1">
      <c r="A70" s="2"/>
      <c r="B70" s="2"/>
      <c r="C70" s="2"/>
      <c r="D70" s="2"/>
      <c r="E70" s="2"/>
      <c r="F70" s="2"/>
      <c r="G70" s="2"/>
      <c r="H70" s="2"/>
      <c r="I70" s="2"/>
      <c r="J70" s="2"/>
      <c r="K70" s="2"/>
    </row>
    <row r="71" ht="15.75" customHeight="1">
      <c r="A71" s="2"/>
      <c r="B71" s="2"/>
      <c r="C71" s="2"/>
      <c r="D71" s="2"/>
      <c r="E71" s="2"/>
      <c r="F71" s="2"/>
      <c r="G71" s="2"/>
      <c r="H71" s="2"/>
      <c r="I71" s="2"/>
      <c r="J71" s="2"/>
      <c r="K71" s="2"/>
    </row>
    <row r="72" ht="15.75" customHeight="1">
      <c r="A72" s="2"/>
      <c r="B72" s="2"/>
      <c r="C72" s="2"/>
      <c r="D72" s="2"/>
      <c r="E72" s="2"/>
      <c r="F72" s="2"/>
      <c r="G72" s="2"/>
      <c r="H72" s="2"/>
      <c r="I72" s="2"/>
      <c r="J72" s="2"/>
      <c r="K72" s="2"/>
    </row>
    <row r="73" ht="15.75" customHeight="1">
      <c r="A73" s="2"/>
      <c r="B73" s="2"/>
      <c r="C73" s="2"/>
      <c r="D73" s="2"/>
      <c r="E73" s="2"/>
      <c r="F73" s="2"/>
      <c r="G73" s="2"/>
      <c r="H73" s="2"/>
      <c r="I73" s="2"/>
      <c r="J73" s="2"/>
      <c r="K73" s="2"/>
    </row>
    <row r="74" ht="15.75" customHeight="1">
      <c r="A74" s="2"/>
      <c r="B74" s="2"/>
      <c r="C74" s="2"/>
      <c r="D74" s="2"/>
      <c r="E74" s="2"/>
      <c r="F74" s="2"/>
      <c r="G74" s="2"/>
      <c r="H74" s="2"/>
      <c r="I74" s="2"/>
      <c r="J74" s="2"/>
      <c r="K74" s="2"/>
    </row>
    <row r="75" ht="15.75" customHeight="1">
      <c r="A75" s="2"/>
      <c r="B75" s="2"/>
      <c r="C75" s="2"/>
      <c r="D75" s="2"/>
      <c r="E75" s="2"/>
      <c r="F75" s="2"/>
      <c r="G75" s="2"/>
      <c r="H75" s="2"/>
      <c r="I75" s="2"/>
      <c r="J75" s="2"/>
      <c r="K75" s="2"/>
    </row>
    <row r="76" ht="15.75" customHeight="1">
      <c r="A76" s="2"/>
      <c r="B76" s="2"/>
      <c r="C76" s="2"/>
      <c r="D76" s="2"/>
      <c r="E76" s="2"/>
      <c r="F76" s="2"/>
      <c r="G76" s="2"/>
      <c r="H76" s="2"/>
      <c r="I76" s="2"/>
      <c r="J76" s="2"/>
      <c r="K76" s="2"/>
    </row>
    <row r="77" ht="15.75" customHeight="1">
      <c r="A77" s="2"/>
      <c r="B77" s="2"/>
      <c r="C77" s="2"/>
      <c r="D77" s="2"/>
      <c r="E77" s="2"/>
      <c r="F77" s="2"/>
      <c r="G77" s="2"/>
      <c r="H77" s="2"/>
      <c r="I77" s="2"/>
      <c r="J77" s="2"/>
      <c r="K77" s="2"/>
    </row>
    <row r="78" ht="15.75" customHeight="1">
      <c r="A78" s="2"/>
      <c r="B78" s="2"/>
      <c r="C78" s="2"/>
      <c r="D78" s="2"/>
      <c r="E78" s="2"/>
      <c r="F78" s="2"/>
      <c r="G78" s="2"/>
      <c r="H78" s="2"/>
      <c r="I78" s="2"/>
      <c r="J78" s="2"/>
      <c r="K78" s="2"/>
    </row>
    <row r="79" ht="15.75" customHeight="1">
      <c r="A79" s="2"/>
      <c r="B79" s="2"/>
      <c r="C79" s="2"/>
      <c r="D79" s="2"/>
      <c r="E79" s="2"/>
      <c r="F79" s="2"/>
      <c r="G79" s="2"/>
      <c r="H79" s="2"/>
      <c r="I79" s="2"/>
      <c r="J79" s="2"/>
      <c r="K79" s="2"/>
    </row>
    <row r="80" ht="15.75" customHeight="1">
      <c r="A80" s="2"/>
      <c r="B80" s="2"/>
      <c r="C80" s="2"/>
      <c r="D80" s="2"/>
      <c r="E80" s="2"/>
      <c r="F80" s="2"/>
      <c r="G80" s="2"/>
      <c r="H80" s="2"/>
      <c r="I80" s="2"/>
      <c r="J80" s="2"/>
      <c r="K80" s="2"/>
    </row>
    <row r="81" ht="15.75" customHeight="1">
      <c r="A81" s="2"/>
      <c r="B81" s="2"/>
      <c r="C81" s="2"/>
      <c r="D81" s="2"/>
      <c r="E81" s="2"/>
      <c r="F81" s="2"/>
      <c r="G81" s="2"/>
      <c r="H81" s="2"/>
      <c r="I81" s="2"/>
      <c r="J81" s="2"/>
      <c r="K81" s="2"/>
    </row>
    <row r="82" ht="15.75" customHeight="1">
      <c r="A82" s="2"/>
      <c r="B82" s="2"/>
      <c r="C82" s="2"/>
      <c r="D82" s="2"/>
      <c r="E82" s="2"/>
      <c r="F82" s="2"/>
      <c r="G82" s="2"/>
      <c r="H82" s="2"/>
      <c r="I82" s="2"/>
      <c r="J82" s="2"/>
      <c r="K82" s="2"/>
    </row>
    <row r="83" ht="15.75" customHeight="1">
      <c r="A83" s="2"/>
      <c r="B83" s="2"/>
      <c r="C83" s="2"/>
      <c r="D83" s="2"/>
      <c r="E83" s="2"/>
      <c r="F83" s="2"/>
      <c r="G83" s="2"/>
      <c r="H83" s="2"/>
      <c r="I83" s="2"/>
      <c r="J83" s="2"/>
      <c r="K83" s="2"/>
    </row>
    <row r="84" ht="15.75" customHeight="1">
      <c r="A84" s="2"/>
      <c r="B84" s="2"/>
      <c r="C84" s="2"/>
      <c r="D84" s="2"/>
      <c r="E84" s="2"/>
      <c r="F84" s="2"/>
      <c r="G84" s="2"/>
      <c r="H84" s="2"/>
      <c r="I84" s="2"/>
      <c r="J84" s="2"/>
      <c r="K84" s="2"/>
    </row>
    <row r="85" ht="15.75" customHeight="1">
      <c r="A85" s="2"/>
      <c r="B85" s="2"/>
      <c r="C85" s="2"/>
      <c r="D85" s="2"/>
      <c r="E85" s="2"/>
      <c r="F85" s="2"/>
      <c r="G85" s="2"/>
      <c r="H85" s="2"/>
      <c r="I85" s="2"/>
      <c r="J85" s="2"/>
      <c r="K85" s="2"/>
    </row>
    <row r="86" ht="15.75" customHeight="1">
      <c r="A86" s="2"/>
      <c r="B86" s="2"/>
      <c r="C86" s="2"/>
      <c r="D86" s="2"/>
      <c r="E86" s="2"/>
      <c r="F86" s="2"/>
      <c r="G86" s="2"/>
      <c r="H86" s="2"/>
      <c r="I86" s="2"/>
      <c r="J86" s="2"/>
      <c r="K86" s="2"/>
    </row>
    <row r="87" ht="15.75" customHeight="1">
      <c r="A87" s="2"/>
      <c r="B87" s="2"/>
      <c r="C87" s="2"/>
      <c r="D87" s="2"/>
      <c r="E87" s="2"/>
      <c r="F87" s="2"/>
      <c r="G87" s="2"/>
      <c r="H87" s="2"/>
      <c r="I87" s="2"/>
      <c r="J87" s="2"/>
      <c r="K87" s="2"/>
    </row>
    <row r="88" ht="15.75" customHeight="1">
      <c r="A88" s="2"/>
      <c r="B88" s="2"/>
      <c r="C88" s="2"/>
      <c r="D88" s="2"/>
      <c r="E88" s="2"/>
      <c r="F88" s="2"/>
      <c r="G88" s="2"/>
      <c r="H88" s="2"/>
      <c r="I88" s="2"/>
      <c r="J88" s="2"/>
      <c r="K88" s="2"/>
    </row>
    <row r="89" ht="15.75" customHeight="1">
      <c r="A89" s="2"/>
      <c r="B89" s="2"/>
      <c r="C89" s="2"/>
      <c r="D89" s="2"/>
      <c r="E89" s="2"/>
      <c r="F89" s="2"/>
      <c r="G89" s="2"/>
      <c r="H89" s="2"/>
      <c r="I89" s="2"/>
      <c r="J89" s="2"/>
      <c r="K89" s="2"/>
    </row>
    <row r="90" ht="15.75" customHeight="1">
      <c r="A90" s="2"/>
      <c r="B90" s="2"/>
      <c r="C90" s="2"/>
      <c r="D90" s="2"/>
      <c r="E90" s="2"/>
      <c r="F90" s="2"/>
      <c r="G90" s="2"/>
      <c r="H90" s="2"/>
      <c r="I90" s="2"/>
      <c r="J90" s="2"/>
      <c r="K90" s="2"/>
    </row>
    <row r="91" ht="15.75" customHeight="1">
      <c r="A91" s="2"/>
      <c r="B91" s="2"/>
      <c r="C91" s="2"/>
      <c r="D91" s="2"/>
      <c r="E91" s="2"/>
      <c r="F91" s="2"/>
      <c r="G91" s="2"/>
      <c r="H91" s="2"/>
      <c r="I91" s="2"/>
      <c r="J91" s="2"/>
      <c r="K91" s="2"/>
    </row>
    <row r="92" ht="15.75" customHeight="1">
      <c r="A92" s="2"/>
      <c r="B92" s="2"/>
      <c r="C92" s="2"/>
      <c r="D92" s="2"/>
      <c r="E92" s="2"/>
      <c r="F92" s="2"/>
      <c r="G92" s="2"/>
      <c r="H92" s="2"/>
      <c r="I92" s="2"/>
      <c r="J92" s="2"/>
      <c r="K92" s="2"/>
    </row>
    <row r="93" ht="15.75" customHeight="1">
      <c r="A93" s="2"/>
      <c r="B93" s="2"/>
      <c r="C93" s="2"/>
      <c r="D93" s="2"/>
      <c r="E93" s="2"/>
      <c r="F93" s="2"/>
      <c r="G93" s="2"/>
      <c r="H93" s="2"/>
      <c r="I93" s="2"/>
      <c r="J93" s="2"/>
      <c r="K93" s="2"/>
    </row>
    <row r="94" ht="15.75" customHeight="1">
      <c r="A94" s="2"/>
      <c r="B94" s="2"/>
      <c r="C94" s="2"/>
      <c r="D94" s="2"/>
      <c r="E94" s="2"/>
      <c r="F94" s="2"/>
      <c r="G94" s="2"/>
      <c r="H94" s="2"/>
      <c r="I94" s="2"/>
      <c r="J94" s="2"/>
      <c r="K94" s="2"/>
    </row>
    <row r="95" ht="15.75" customHeight="1">
      <c r="A95" s="2"/>
      <c r="B95" s="2"/>
      <c r="C95" s="2"/>
      <c r="D95" s="2"/>
      <c r="E95" s="2"/>
      <c r="F95" s="2"/>
      <c r="G95" s="2"/>
      <c r="H95" s="2"/>
      <c r="I95" s="2"/>
      <c r="J95" s="2"/>
      <c r="K95" s="2"/>
    </row>
    <row r="96" ht="15.75" customHeight="1">
      <c r="A96" s="2"/>
      <c r="B96" s="2"/>
      <c r="C96" s="2"/>
      <c r="D96" s="2"/>
      <c r="E96" s="2"/>
      <c r="F96" s="2"/>
      <c r="G96" s="2"/>
      <c r="H96" s="2"/>
      <c r="I96" s="2"/>
      <c r="J96" s="2"/>
      <c r="K96" s="2"/>
    </row>
    <row r="97" ht="15.75" customHeight="1">
      <c r="A97" s="2"/>
      <c r="B97" s="2"/>
      <c r="C97" s="2"/>
      <c r="D97" s="2"/>
      <c r="E97" s="2"/>
      <c r="F97" s="2"/>
      <c r="G97" s="2"/>
      <c r="H97" s="2"/>
      <c r="I97" s="2"/>
      <c r="J97" s="2"/>
      <c r="K97" s="2"/>
    </row>
    <row r="98" ht="15.75" customHeight="1">
      <c r="A98" s="2"/>
      <c r="B98" s="2"/>
      <c r="C98" s="2"/>
      <c r="D98" s="2"/>
      <c r="E98" s="2"/>
      <c r="F98" s="2"/>
      <c r="G98" s="2"/>
      <c r="H98" s="2"/>
      <c r="I98" s="2"/>
      <c r="J98" s="2"/>
      <c r="K98" s="2"/>
    </row>
    <row r="99" ht="15.75" customHeight="1">
      <c r="A99" s="2"/>
      <c r="B99" s="2"/>
      <c r="C99" s="2"/>
      <c r="D99" s="2"/>
      <c r="E99" s="2"/>
      <c r="F99" s="2"/>
      <c r="G99" s="2"/>
      <c r="H99" s="2"/>
      <c r="I99" s="2"/>
      <c r="J99" s="2"/>
      <c r="K99" s="2"/>
    </row>
    <row r="100" ht="15.75" customHeight="1">
      <c r="A100" s="2"/>
      <c r="B100" s="2"/>
      <c r="C100" s="2"/>
      <c r="D100" s="2"/>
      <c r="E100" s="2"/>
      <c r="F100" s="2"/>
      <c r="G100" s="2"/>
      <c r="H100" s="2"/>
      <c r="I100" s="2"/>
      <c r="J100" s="2"/>
      <c r="K100" s="2"/>
    </row>
    <row r="101" ht="15.75" customHeight="1">
      <c r="A101" s="2"/>
      <c r="B101" s="2"/>
      <c r="C101" s="2"/>
      <c r="D101" s="2"/>
      <c r="E101" s="2"/>
      <c r="F101" s="2"/>
      <c r="G101" s="2"/>
      <c r="H101" s="2"/>
      <c r="I101" s="2"/>
      <c r="J101" s="2"/>
      <c r="K101" s="2"/>
    </row>
    <row r="102" ht="15.75" customHeight="1">
      <c r="A102" s="2"/>
      <c r="B102" s="2"/>
      <c r="C102" s="2"/>
      <c r="D102" s="2"/>
      <c r="E102" s="2"/>
      <c r="F102" s="2"/>
      <c r="G102" s="2"/>
      <c r="H102" s="2"/>
      <c r="I102" s="2"/>
      <c r="J102" s="2"/>
      <c r="K102" s="2"/>
    </row>
    <row r="103" ht="15.75" customHeight="1">
      <c r="A103" s="2"/>
      <c r="B103" s="2"/>
      <c r="C103" s="2"/>
      <c r="D103" s="2"/>
      <c r="E103" s="2"/>
      <c r="F103" s="2"/>
      <c r="G103" s="2"/>
      <c r="H103" s="2"/>
      <c r="I103" s="2"/>
      <c r="J103" s="2"/>
      <c r="K103" s="2"/>
    </row>
    <row r="104" ht="15.75" customHeight="1">
      <c r="A104" s="2"/>
      <c r="B104" s="2"/>
      <c r="C104" s="2"/>
      <c r="D104" s="2"/>
      <c r="E104" s="2"/>
      <c r="F104" s="2"/>
      <c r="G104" s="2"/>
      <c r="H104" s="2"/>
      <c r="I104" s="2"/>
      <c r="J104" s="2"/>
      <c r="K104" s="2"/>
    </row>
    <row r="105" ht="15.75" customHeight="1">
      <c r="A105" s="2"/>
      <c r="B105" s="2"/>
      <c r="C105" s="2"/>
      <c r="D105" s="2"/>
      <c r="E105" s="2"/>
      <c r="F105" s="2"/>
      <c r="G105" s="2"/>
      <c r="H105" s="2"/>
      <c r="I105" s="2"/>
      <c r="J105" s="2"/>
      <c r="K105" s="2"/>
    </row>
    <row r="106" ht="15.75" customHeight="1">
      <c r="A106" s="2"/>
      <c r="B106" s="2"/>
      <c r="C106" s="2"/>
      <c r="D106" s="2"/>
      <c r="E106" s="2"/>
      <c r="F106" s="2"/>
      <c r="G106" s="2"/>
      <c r="H106" s="2"/>
      <c r="I106" s="2"/>
      <c r="J106" s="2"/>
      <c r="K106" s="2"/>
    </row>
    <row r="107" ht="15.75" customHeight="1">
      <c r="A107" s="2"/>
      <c r="B107" s="2"/>
      <c r="C107" s="2"/>
      <c r="D107" s="2"/>
      <c r="E107" s="2"/>
      <c r="F107" s="2"/>
      <c r="G107" s="2"/>
      <c r="H107" s="2"/>
      <c r="I107" s="2"/>
      <c r="J107" s="2"/>
      <c r="K107" s="2"/>
    </row>
    <row r="108" ht="15.75" customHeight="1">
      <c r="A108" s="2"/>
      <c r="B108" s="2"/>
      <c r="C108" s="2"/>
      <c r="D108" s="2"/>
      <c r="E108" s="2"/>
      <c r="F108" s="2"/>
      <c r="G108" s="2"/>
      <c r="H108" s="2"/>
      <c r="I108" s="2"/>
      <c r="J108" s="2"/>
      <c r="K108" s="2"/>
    </row>
    <row r="109" ht="15.75" customHeight="1">
      <c r="A109" s="2"/>
      <c r="B109" s="2"/>
      <c r="C109" s="2"/>
      <c r="D109" s="2"/>
      <c r="E109" s="2"/>
      <c r="F109" s="2"/>
      <c r="G109" s="2"/>
      <c r="H109" s="2"/>
      <c r="I109" s="2"/>
      <c r="J109" s="2"/>
      <c r="K109" s="2"/>
    </row>
    <row r="110" ht="15.75" customHeight="1">
      <c r="A110" s="2"/>
      <c r="B110" s="2"/>
      <c r="C110" s="2"/>
      <c r="D110" s="2"/>
      <c r="E110" s="2"/>
      <c r="F110" s="2"/>
      <c r="G110" s="2"/>
      <c r="H110" s="2"/>
      <c r="I110" s="2"/>
      <c r="J110" s="2"/>
      <c r="K110" s="2"/>
    </row>
    <row r="111" ht="15.75" customHeight="1">
      <c r="A111" s="2"/>
      <c r="B111" s="2"/>
      <c r="C111" s="2"/>
      <c r="D111" s="2"/>
      <c r="E111" s="2"/>
      <c r="F111" s="2"/>
      <c r="G111" s="2"/>
      <c r="H111" s="2"/>
      <c r="I111" s="2"/>
      <c r="J111" s="2"/>
      <c r="K111" s="2"/>
    </row>
    <row r="112" ht="15.75" customHeight="1">
      <c r="A112" s="2"/>
      <c r="B112" s="2"/>
      <c r="C112" s="2"/>
      <c r="D112" s="2"/>
      <c r="E112" s="2"/>
      <c r="F112" s="2"/>
      <c r="G112" s="2"/>
      <c r="H112" s="2"/>
      <c r="I112" s="2"/>
      <c r="J112" s="2"/>
      <c r="K112" s="2"/>
    </row>
    <row r="113" ht="15.75" customHeight="1">
      <c r="A113" s="2"/>
      <c r="B113" s="2"/>
      <c r="C113" s="2"/>
      <c r="D113" s="2"/>
      <c r="E113" s="2"/>
      <c r="F113" s="2"/>
      <c r="G113" s="2"/>
      <c r="H113" s="2"/>
      <c r="I113" s="2"/>
      <c r="J113" s="2"/>
      <c r="K113" s="2"/>
    </row>
    <row r="114" ht="15.75" customHeight="1">
      <c r="A114" s="2"/>
      <c r="B114" s="2"/>
      <c r="C114" s="2"/>
      <c r="D114" s="2"/>
      <c r="E114" s="2"/>
      <c r="F114" s="2"/>
      <c r="G114" s="2"/>
      <c r="H114" s="2"/>
      <c r="I114" s="2"/>
      <c r="J114" s="2"/>
      <c r="K114" s="2"/>
    </row>
    <row r="115" ht="15.75" customHeight="1">
      <c r="A115" s="2"/>
      <c r="B115" s="2"/>
      <c r="C115" s="2"/>
      <c r="D115" s="2"/>
      <c r="E115" s="2"/>
      <c r="F115" s="2"/>
      <c r="G115" s="2"/>
      <c r="H115" s="2"/>
      <c r="I115" s="2"/>
      <c r="J115" s="2"/>
      <c r="K115" s="2"/>
    </row>
    <row r="116" ht="15.75" customHeight="1">
      <c r="A116" s="2"/>
      <c r="B116" s="2"/>
      <c r="C116" s="2"/>
      <c r="D116" s="2"/>
      <c r="E116" s="2"/>
      <c r="F116" s="2"/>
      <c r="G116" s="2"/>
      <c r="H116" s="2"/>
      <c r="I116" s="2"/>
      <c r="J116" s="2"/>
      <c r="K116" s="2"/>
    </row>
    <row r="117" ht="15.75" customHeight="1">
      <c r="A117" s="2"/>
      <c r="B117" s="2"/>
      <c r="C117" s="2"/>
      <c r="D117" s="2"/>
      <c r="E117" s="2"/>
      <c r="F117" s="2"/>
      <c r="G117" s="2"/>
      <c r="H117" s="2"/>
      <c r="I117" s="2"/>
      <c r="J117" s="2"/>
      <c r="K117" s="2"/>
    </row>
    <row r="118" ht="15.75" customHeight="1">
      <c r="A118" s="2"/>
      <c r="B118" s="2"/>
      <c r="C118" s="2"/>
      <c r="D118" s="2"/>
      <c r="E118" s="2"/>
      <c r="F118" s="2"/>
      <c r="G118" s="2"/>
      <c r="H118" s="2"/>
      <c r="I118" s="2"/>
      <c r="J118" s="2"/>
      <c r="K118" s="2"/>
    </row>
    <row r="119" ht="15.75" customHeight="1">
      <c r="A119" s="2"/>
      <c r="B119" s="2"/>
      <c r="C119" s="2"/>
      <c r="D119" s="2"/>
      <c r="E119" s="2"/>
      <c r="F119" s="2"/>
      <c r="G119" s="2"/>
      <c r="H119" s="2"/>
      <c r="I119" s="2"/>
      <c r="J119" s="2"/>
      <c r="K119" s="2"/>
    </row>
    <row r="120" ht="15.75" customHeight="1">
      <c r="A120" s="2"/>
      <c r="B120" s="2"/>
      <c r="C120" s="2"/>
      <c r="D120" s="2"/>
      <c r="E120" s="2"/>
      <c r="F120" s="2"/>
      <c r="G120" s="2"/>
      <c r="H120" s="2"/>
      <c r="I120" s="2"/>
      <c r="J120" s="2"/>
      <c r="K120" s="2"/>
    </row>
    <row r="121" ht="15.75" customHeight="1">
      <c r="A121" s="2"/>
      <c r="B121" s="2"/>
      <c r="C121" s="2"/>
      <c r="D121" s="2"/>
      <c r="E121" s="2"/>
      <c r="F121" s="2"/>
      <c r="G121" s="2"/>
      <c r="H121" s="2"/>
      <c r="I121" s="2"/>
      <c r="J121" s="2"/>
      <c r="K121" s="2"/>
    </row>
    <row r="122" ht="15.75" customHeight="1">
      <c r="A122" s="2"/>
      <c r="B122" s="2"/>
      <c r="C122" s="2"/>
      <c r="D122" s="2"/>
      <c r="E122" s="2"/>
      <c r="F122" s="2"/>
      <c r="G122" s="2"/>
      <c r="H122" s="2"/>
      <c r="I122" s="2"/>
      <c r="J122" s="2"/>
      <c r="K122" s="2"/>
    </row>
    <row r="123" ht="15.75" customHeight="1">
      <c r="A123" s="2"/>
      <c r="B123" s="2"/>
      <c r="C123" s="2"/>
      <c r="D123" s="2"/>
      <c r="E123" s="2"/>
      <c r="F123" s="2"/>
      <c r="G123" s="2"/>
      <c r="H123" s="2"/>
      <c r="I123" s="2"/>
      <c r="J123" s="2"/>
      <c r="K123" s="2"/>
    </row>
    <row r="124" ht="15.75" customHeight="1">
      <c r="A124" s="2"/>
      <c r="B124" s="2"/>
      <c r="C124" s="2"/>
      <c r="D124" s="2"/>
      <c r="E124" s="2"/>
      <c r="F124" s="2"/>
      <c r="G124" s="2"/>
      <c r="H124" s="2"/>
      <c r="I124" s="2"/>
      <c r="J124" s="2"/>
      <c r="K124" s="2"/>
    </row>
    <row r="125" ht="15.75" customHeight="1">
      <c r="A125" s="2"/>
      <c r="B125" s="2"/>
      <c r="C125" s="2"/>
      <c r="D125" s="2"/>
      <c r="E125" s="2"/>
      <c r="F125" s="2"/>
      <c r="G125" s="2"/>
      <c r="H125" s="2"/>
      <c r="I125" s="2"/>
      <c r="J125" s="2"/>
      <c r="K125" s="2"/>
    </row>
    <row r="126" ht="15.75" customHeight="1">
      <c r="A126" s="2"/>
      <c r="B126" s="2"/>
      <c r="C126" s="2"/>
      <c r="D126" s="2"/>
      <c r="E126" s="2"/>
      <c r="F126" s="2"/>
      <c r="G126" s="2"/>
      <c r="H126" s="2"/>
      <c r="I126" s="2"/>
      <c r="J126" s="2"/>
      <c r="K126" s="2"/>
    </row>
    <row r="127" ht="15.75" customHeight="1">
      <c r="A127" s="2"/>
      <c r="B127" s="2"/>
      <c r="C127" s="2"/>
      <c r="D127" s="2"/>
      <c r="E127" s="2"/>
      <c r="F127" s="2"/>
      <c r="G127" s="2"/>
      <c r="H127" s="2"/>
      <c r="I127" s="2"/>
      <c r="J127" s="2"/>
      <c r="K127" s="2"/>
    </row>
    <row r="128" ht="15.75" customHeight="1">
      <c r="A128" s="2"/>
      <c r="B128" s="2"/>
      <c r="C128" s="2"/>
      <c r="D128" s="2"/>
      <c r="E128" s="2"/>
      <c r="F128" s="2"/>
      <c r="G128" s="2"/>
      <c r="H128" s="2"/>
      <c r="I128" s="2"/>
      <c r="J128" s="2"/>
      <c r="K128" s="2"/>
    </row>
    <row r="129" ht="15.75" customHeight="1">
      <c r="A129" s="2"/>
      <c r="B129" s="2"/>
      <c r="C129" s="2"/>
      <c r="D129" s="2"/>
      <c r="E129" s="2"/>
      <c r="F129" s="2"/>
      <c r="G129" s="2"/>
      <c r="H129" s="2"/>
      <c r="I129" s="2"/>
      <c r="J129" s="2"/>
      <c r="K129" s="2"/>
    </row>
    <row r="130" ht="15.75" customHeight="1">
      <c r="A130" s="2"/>
      <c r="B130" s="2"/>
      <c r="C130" s="2"/>
      <c r="D130" s="2"/>
      <c r="E130" s="2"/>
      <c r="F130" s="2"/>
      <c r="G130" s="2"/>
      <c r="H130" s="2"/>
      <c r="I130" s="2"/>
      <c r="J130" s="2"/>
      <c r="K130" s="2"/>
    </row>
    <row r="131" ht="15.75" customHeight="1">
      <c r="A131" s="2"/>
      <c r="B131" s="2"/>
      <c r="C131" s="2"/>
      <c r="D131" s="2"/>
      <c r="E131" s="2"/>
      <c r="F131" s="2"/>
      <c r="G131" s="2"/>
      <c r="H131" s="2"/>
      <c r="I131" s="2"/>
      <c r="J131" s="2"/>
      <c r="K131" s="2"/>
    </row>
    <row r="132" ht="15.75" customHeight="1">
      <c r="A132" s="2"/>
      <c r="B132" s="2"/>
      <c r="C132" s="2"/>
      <c r="D132" s="2"/>
      <c r="E132" s="2"/>
      <c r="F132" s="2"/>
      <c r="G132" s="2"/>
      <c r="H132" s="2"/>
      <c r="I132" s="2"/>
      <c r="J132" s="2"/>
      <c r="K132" s="2"/>
    </row>
    <row r="133" ht="15.75" customHeight="1">
      <c r="A133" s="2"/>
      <c r="B133" s="2"/>
      <c r="C133" s="2"/>
      <c r="D133" s="2"/>
      <c r="E133" s="2"/>
      <c r="F133" s="2"/>
      <c r="G133" s="2"/>
      <c r="H133" s="2"/>
      <c r="I133" s="2"/>
      <c r="J133" s="2"/>
      <c r="K133" s="2"/>
    </row>
    <row r="134" ht="15.75" customHeight="1">
      <c r="A134" s="2"/>
      <c r="B134" s="2"/>
      <c r="C134" s="2"/>
      <c r="D134" s="2"/>
      <c r="E134" s="2"/>
      <c r="F134" s="2"/>
      <c r="G134" s="2"/>
      <c r="H134" s="2"/>
      <c r="I134" s="2"/>
      <c r="J134" s="2"/>
      <c r="K134" s="2"/>
    </row>
    <row r="135" ht="15.75" customHeight="1">
      <c r="A135" s="2"/>
      <c r="B135" s="2"/>
      <c r="C135" s="2"/>
      <c r="D135" s="2"/>
      <c r="E135" s="2"/>
      <c r="F135" s="2"/>
      <c r="G135" s="2"/>
      <c r="H135" s="2"/>
      <c r="I135" s="2"/>
      <c r="J135" s="2"/>
      <c r="K135" s="2"/>
    </row>
    <row r="136" ht="15.75" customHeight="1">
      <c r="A136" s="2"/>
      <c r="B136" s="2"/>
      <c r="C136" s="2"/>
      <c r="D136" s="2"/>
      <c r="E136" s="2"/>
      <c r="F136" s="2"/>
      <c r="G136" s="2"/>
      <c r="H136" s="2"/>
      <c r="I136" s="2"/>
      <c r="J136" s="2"/>
      <c r="K136" s="2"/>
    </row>
    <row r="137" ht="15.75" customHeight="1">
      <c r="A137" s="2"/>
      <c r="B137" s="2"/>
      <c r="C137" s="2"/>
      <c r="D137" s="2"/>
      <c r="E137" s="2"/>
      <c r="F137" s="2"/>
      <c r="G137" s="2"/>
      <c r="H137" s="2"/>
      <c r="I137" s="2"/>
      <c r="J137" s="2"/>
      <c r="K137" s="2"/>
    </row>
    <row r="138" ht="15.75" customHeight="1">
      <c r="A138" s="2"/>
      <c r="B138" s="2"/>
      <c r="C138" s="2"/>
      <c r="D138" s="2"/>
      <c r="E138" s="2"/>
      <c r="F138" s="2"/>
      <c r="G138" s="2"/>
      <c r="H138" s="2"/>
      <c r="I138" s="2"/>
      <c r="J138" s="2"/>
      <c r="K138" s="2"/>
    </row>
    <row r="139" ht="15.75" customHeight="1">
      <c r="A139" s="2"/>
      <c r="B139" s="2"/>
      <c r="C139" s="2"/>
      <c r="D139" s="2"/>
      <c r="E139" s="2"/>
      <c r="F139" s="2"/>
      <c r="G139" s="2"/>
      <c r="H139" s="2"/>
      <c r="I139" s="2"/>
      <c r="J139" s="2"/>
      <c r="K139" s="2"/>
    </row>
    <row r="140" ht="15.75" customHeight="1">
      <c r="A140" s="2"/>
      <c r="B140" s="2"/>
      <c r="C140" s="2"/>
      <c r="D140" s="2"/>
      <c r="E140" s="2"/>
      <c r="F140" s="2"/>
      <c r="G140" s="2"/>
      <c r="H140" s="2"/>
      <c r="I140" s="2"/>
      <c r="J140" s="2"/>
      <c r="K140" s="2"/>
    </row>
    <row r="141" ht="15.75" customHeight="1">
      <c r="A141" s="2"/>
      <c r="B141" s="2"/>
      <c r="C141" s="2"/>
      <c r="D141" s="2"/>
      <c r="E141" s="2"/>
      <c r="F141" s="2"/>
      <c r="G141" s="2"/>
      <c r="H141" s="2"/>
      <c r="I141" s="2"/>
      <c r="J141" s="2"/>
      <c r="K141" s="2"/>
    </row>
    <row r="142" ht="15.75" customHeight="1">
      <c r="A142" s="2"/>
      <c r="B142" s="2"/>
      <c r="C142" s="2"/>
      <c r="D142" s="2"/>
      <c r="E142" s="2"/>
      <c r="F142" s="2"/>
      <c r="G142" s="2"/>
      <c r="H142" s="2"/>
      <c r="I142" s="2"/>
      <c r="J142" s="2"/>
      <c r="K142" s="2"/>
    </row>
    <row r="143" ht="15.75" customHeight="1">
      <c r="A143" s="2"/>
      <c r="B143" s="2"/>
      <c r="C143" s="2"/>
      <c r="D143" s="2"/>
      <c r="E143" s="2"/>
      <c r="F143" s="2"/>
      <c r="G143" s="2"/>
      <c r="H143" s="2"/>
      <c r="I143" s="2"/>
      <c r="J143" s="2"/>
      <c r="K143" s="2"/>
    </row>
    <row r="144" ht="15.75" customHeight="1">
      <c r="A144" s="2"/>
      <c r="B144" s="2"/>
      <c r="C144" s="2"/>
      <c r="D144" s="2"/>
      <c r="E144" s="2"/>
      <c r="F144" s="2"/>
      <c r="G144" s="2"/>
      <c r="H144" s="2"/>
      <c r="I144" s="2"/>
      <c r="J144" s="2"/>
      <c r="K144" s="2"/>
    </row>
    <row r="145" ht="15.75" customHeight="1">
      <c r="A145" s="2"/>
      <c r="B145" s="2"/>
      <c r="C145" s="2"/>
      <c r="D145" s="2"/>
      <c r="E145" s="2"/>
      <c r="F145" s="2"/>
      <c r="G145" s="2"/>
      <c r="H145" s="2"/>
      <c r="I145" s="2"/>
      <c r="J145" s="2"/>
      <c r="K145" s="2"/>
    </row>
    <row r="146" ht="15.75" customHeight="1">
      <c r="A146" s="2"/>
      <c r="B146" s="2"/>
      <c r="C146" s="2"/>
      <c r="D146" s="2"/>
      <c r="E146" s="2"/>
      <c r="F146" s="2"/>
      <c r="G146" s="2"/>
      <c r="H146" s="2"/>
      <c r="I146" s="2"/>
      <c r="J146" s="2"/>
      <c r="K146" s="2"/>
    </row>
    <row r="147" ht="15.75" customHeight="1">
      <c r="A147" s="2"/>
      <c r="B147" s="2"/>
      <c r="C147" s="2"/>
      <c r="D147" s="2"/>
      <c r="E147" s="2"/>
      <c r="F147" s="2"/>
      <c r="G147" s="2"/>
      <c r="H147" s="2"/>
      <c r="I147" s="2"/>
      <c r="J147" s="2"/>
      <c r="K147" s="2"/>
    </row>
    <row r="148" ht="15.75" customHeight="1">
      <c r="A148" s="2"/>
      <c r="B148" s="2"/>
      <c r="C148" s="2"/>
      <c r="D148" s="2"/>
      <c r="E148" s="2"/>
      <c r="F148" s="2"/>
      <c r="G148" s="2"/>
      <c r="H148" s="2"/>
      <c r="I148" s="2"/>
      <c r="J148" s="2"/>
      <c r="K148" s="2"/>
    </row>
    <row r="149" ht="15.75" customHeight="1">
      <c r="A149" s="2"/>
      <c r="B149" s="2"/>
      <c r="C149" s="2"/>
      <c r="D149" s="2"/>
      <c r="E149" s="2"/>
      <c r="F149" s="2"/>
      <c r="G149" s="2"/>
      <c r="H149" s="2"/>
      <c r="I149" s="2"/>
      <c r="J149" s="2"/>
      <c r="K149" s="2"/>
    </row>
    <row r="150" ht="15.75" customHeight="1">
      <c r="A150" s="2"/>
      <c r="B150" s="2"/>
      <c r="C150" s="2"/>
      <c r="D150" s="2"/>
      <c r="E150" s="2"/>
      <c r="F150" s="2"/>
      <c r="G150" s="2"/>
      <c r="H150" s="2"/>
      <c r="I150" s="2"/>
      <c r="J150" s="2"/>
      <c r="K150" s="2"/>
    </row>
    <row r="151" ht="15.75" customHeight="1">
      <c r="A151" s="2"/>
      <c r="B151" s="2"/>
      <c r="C151" s="2"/>
      <c r="D151" s="2"/>
      <c r="E151" s="2"/>
      <c r="F151" s="2"/>
      <c r="G151" s="2"/>
      <c r="H151" s="2"/>
      <c r="I151" s="2"/>
      <c r="J151" s="2"/>
      <c r="K151" s="2"/>
    </row>
    <row r="152" ht="15.75" customHeight="1">
      <c r="A152" s="2"/>
      <c r="B152" s="2"/>
      <c r="C152" s="2"/>
      <c r="D152" s="2"/>
      <c r="E152" s="2"/>
      <c r="F152" s="2"/>
      <c r="G152" s="2"/>
      <c r="H152" s="2"/>
      <c r="I152" s="2"/>
      <c r="J152" s="2"/>
      <c r="K152" s="2"/>
    </row>
    <row r="153" ht="15.75" customHeight="1">
      <c r="A153" s="2"/>
      <c r="B153" s="2"/>
      <c r="C153" s="2"/>
      <c r="D153" s="2"/>
      <c r="E153" s="2"/>
      <c r="F153" s="2"/>
      <c r="G153" s="2"/>
      <c r="H153" s="2"/>
      <c r="I153" s="2"/>
      <c r="J153" s="2"/>
      <c r="K153" s="2"/>
    </row>
    <row r="154" ht="15.75" customHeight="1">
      <c r="A154" s="2"/>
      <c r="B154" s="2"/>
      <c r="C154" s="2"/>
      <c r="D154" s="2"/>
      <c r="E154" s="2"/>
      <c r="F154" s="2"/>
      <c r="G154" s="2"/>
      <c r="H154" s="2"/>
      <c r="I154" s="2"/>
      <c r="J154" s="2"/>
      <c r="K154" s="2"/>
    </row>
    <row r="155" ht="15.75" customHeight="1">
      <c r="A155" s="2"/>
      <c r="B155" s="2"/>
      <c r="C155" s="2"/>
      <c r="D155" s="2"/>
      <c r="E155" s="2"/>
      <c r="F155" s="2"/>
      <c r="G155" s="2"/>
      <c r="H155" s="2"/>
      <c r="I155" s="2"/>
      <c r="J155" s="2"/>
      <c r="K155" s="2"/>
    </row>
    <row r="156" ht="15.75" customHeight="1">
      <c r="A156" s="2"/>
      <c r="B156" s="2"/>
      <c r="C156" s="2"/>
      <c r="D156" s="2"/>
      <c r="E156" s="2"/>
      <c r="F156" s="2"/>
      <c r="G156" s="2"/>
      <c r="H156" s="2"/>
      <c r="I156" s="2"/>
      <c r="J156" s="2"/>
      <c r="K156" s="2"/>
    </row>
    <row r="157" ht="15.75" customHeight="1">
      <c r="A157" s="2"/>
      <c r="B157" s="2"/>
      <c r="C157" s="2"/>
      <c r="D157" s="2"/>
      <c r="E157" s="2"/>
      <c r="F157" s="2"/>
      <c r="G157" s="2"/>
      <c r="H157" s="2"/>
      <c r="I157" s="2"/>
      <c r="J157" s="2"/>
      <c r="K157" s="2"/>
    </row>
    <row r="158" ht="15.75" customHeight="1">
      <c r="A158" s="2"/>
      <c r="B158" s="2"/>
      <c r="C158" s="2"/>
      <c r="D158" s="2"/>
      <c r="E158" s="2"/>
      <c r="F158" s="2"/>
      <c r="G158" s="2"/>
      <c r="H158" s="2"/>
      <c r="I158" s="2"/>
      <c r="J158" s="2"/>
      <c r="K158" s="2"/>
    </row>
    <row r="159" ht="15.75" customHeight="1">
      <c r="A159" s="2"/>
      <c r="B159" s="2"/>
      <c r="C159" s="2"/>
      <c r="D159" s="2"/>
      <c r="E159" s="2"/>
      <c r="F159" s="2"/>
      <c r="G159" s="2"/>
      <c r="H159" s="2"/>
      <c r="I159" s="2"/>
      <c r="J159" s="2"/>
      <c r="K159" s="2"/>
    </row>
    <row r="160" ht="15.75" customHeight="1">
      <c r="A160" s="2"/>
      <c r="B160" s="2"/>
      <c r="C160" s="2"/>
      <c r="D160" s="2"/>
      <c r="E160" s="2"/>
      <c r="F160" s="2"/>
      <c r="G160" s="2"/>
      <c r="H160" s="2"/>
      <c r="I160" s="2"/>
      <c r="J160" s="2"/>
      <c r="K160" s="2"/>
    </row>
    <row r="161" ht="15.75" customHeight="1">
      <c r="A161" s="2"/>
      <c r="B161" s="2"/>
      <c r="C161" s="2"/>
      <c r="D161" s="2"/>
      <c r="E161" s="2"/>
      <c r="F161" s="2"/>
      <c r="G161" s="2"/>
      <c r="H161" s="2"/>
      <c r="I161" s="2"/>
      <c r="J161" s="2"/>
      <c r="K161" s="2"/>
    </row>
    <row r="162" ht="15.75" customHeight="1">
      <c r="A162" s="2"/>
      <c r="B162" s="2"/>
      <c r="C162" s="2"/>
      <c r="D162" s="2"/>
      <c r="E162" s="2"/>
      <c r="F162" s="2"/>
      <c r="G162" s="2"/>
      <c r="H162" s="2"/>
      <c r="I162" s="2"/>
      <c r="J162" s="2"/>
      <c r="K162" s="2"/>
    </row>
    <row r="163" ht="15.75" customHeight="1">
      <c r="A163" s="2"/>
      <c r="B163" s="2"/>
      <c r="C163" s="2"/>
      <c r="D163" s="2"/>
      <c r="E163" s="2"/>
      <c r="F163" s="2"/>
      <c r="G163" s="2"/>
      <c r="H163" s="2"/>
      <c r="I163" s="2"/>
      <c r="J163" s="2"/>
      <c r="K163" s="2"/>
    </row>
    <row r="164" ht="15.75" customHeight="1">
      <c r="A164" s="2"/>
      <c r="B164" s="2"/>
      <c r="C164" s="2"/>
      <c r="D164" s="2"/>
      <c r="E164" s="2"/>
      <c r="F164" s="2"/>
      <c r="G164" s="2"/>
      <c r="H164" s="2"/>
      <c r="I164" s="2"/>
      <c r="J164" s="2"/>
      <c r="K164" s="2"/>
    </row>
    <row r="165" ht="15.75" customHeight="1">
      <c r="A165" s="2"/>
      <c r="B165" s="2"/>
      <c r="C165" s="2"/>
      <c r="D165" s="2"/>
      <c r="E165" s="2"/>
      <c r="F165" s="2"/>
      <c r="G165" s="2"/>
      <c r="H165" s="2"/>
      <c r="I165" s="2"/>
      <c r="J165" s="2"/>
      <c r="K165" s="2"/>
    </row>
    <row r="166" ht="15.75" customHeight="1">
      <c r="A166" s="2"/>
      <c r="B166" s="2"/>
      <c r="C166" s="2"/>
      <c r="D166" s="2"/>
      <c r="E166" s="2"/>
      <c r="F166" s="2"/>
      <c r="G166" s="2"/>
      <c r="H166" s="2"/>
      <c r="I166" s="2"/>
      <c r="J166" s="2"/>
      <c r="K166" s="2"/>
    </row>
    <row r="167" ht="15.75" customHeight="1">
      <c r="A167" s="2"/>
      <c r="B167" s="2"/>
      <c r="C167" s="2"/>
      <c r="D167" s="2"/>
      <c r="E167" s="2"/>
      <c r="F167" s="2"/>
      <c r="G167" s="2"/>
      <c r="H167" s="2"/>
      <c r="I167" s="2"/>
      <c r="J167" s="2"/>
      <c r="K167" s="2"/>
    </row>
    <row r="168" ht="15.75" customHeight="1">
      <c r="A168" s="2"/>
      <c r="B168" s="2"/>
      <c r="C168" s="2"/>
      <c r="D168" s="2"/>
      <c r="E168" s="2"/>
      <c r="F168" s="2"/>
      <c r="G168" s="2"/>
      <c r="H168" s="2"/>
      <c r="I168" s="2"/>
      <c r="J168" s="2"/>
      <c r="K168" s="2"/>
    </row>
    <row r="169" ht="15.75" customHeight="1">
      <c r="A169" s="2"/>
      <c r="B169" s="2"/>
      <c r="C169" s="2"/>
      <c r="D169" s="2"/>
      <c r="E169" s="2"/>
      <c r="F169" s="2"/>
      <c r="G169" s="2"/>
      <c r="H169" s="2"/>
      <c r="I169" s="2"/>
      <c r="J169" s="2"/>
      <c r="K169" s="2"/>
    </row>
    <row r="170" ht="15.75" customHeight="1">
      <c r="A170" s="2"/>
      <c r="B170" s="2"/>
      <c r="C170" s="2"/>
      <c r="D170" s="2"/>
      <c r="E170" s="2"/>
      <c r="F170" s="2"/>
      <c r="G170" s="2"/>
      <c r="H170" s="2"/>
      <c r="I170" s="2"/>
      <c r="J170" s="2"/>
      <c r="K170" s="2"/>
    </row>
    <row r="171" ht="15.75" customHeight="1">
      <c r="A171" s="2"/>
      <c r="B171" s="2"/>
      <c r="C171" s="2"/>
      <c r="D171" s="2"/>
      <c r="E171" s="2"/>
      <c r="F171" s="2"/>
      <c r="G171" s="2"/>
      <c r="H171" s="2"/>
      <c r="I171" s="2"/>
      <c r="J171" s="2"/>
      <c r="K171" s="2"/>
    </row>
    <row r="172" ht="15.75" customHeight="1">
      <c r="A172" s="2"/>
      <c r="B172" s="2"/>
      <c r="C172" s="2"/>
      <c r="D172" s="2"/>
      <c r="E172" s="2"/>
      <c r="F172" s="2"/>
      <c r="G172" s="2"/>
      <c r="H172" s="2"/>
      <c r="I172" s="2"/>
      <c r="J172" s="2"/>
      <c r="K172" s="2"/>
    </row>
    <row r="173" ht="15.75" customHeight="1">
      <c r="A173" s="2"/>
      <c r="B173" s="2"/>
      <c r="C173" s="2"/>
      <c r="D173" s="2"/>
      <c r="E173" s="2"/>
      <c r="F173" s="2"/>
      <c r="G173" s="2"/>
      <c r="H173" s="2"/>
      <c r="I173" s="2"/>
      <c r="J173" s="2"/>
      <c r="K173" s="2"/>
    </row>
    <row r="174" ht="15.75" customHeight="1">
      <c r="A174" s="2"/>
      <c r="B174" s="2"/>
      <c r="C174" s="2"/>
      <c r="D174" s="2"/>
      <c r="E174" s="2"/>
      <c r="F174" s="2"/>
      <c r="G174" s="2"/>
      <c r="H174" s="2"/>
      <c r="I174" s="2"/>
      <c r="J174" s="2"/>
      <c r="K174" s="2"/>
    </row>
    <row r="175" ht="15.75" customHeight="1">
      <c r="A175" s="2"/>
      <c r="B175" s="2"/>
      <c r="C175" s="2"/>
      <c r="D175" s="2"/>
      <c r="E175" s="2"/>
      <c r="F175" s="2"/>
      <c r="G175" s="2"/>
      <c r="H175" s="2"/>
      <c r="I175" s="2"/>
      <c r="J175" s="2"/>
      <c r="K175" s="2"/>
    </row>
    <row r="176" ht="15.75" customHeight="1">
      <c r="A176" s="2"/>
      <c r="B176" s="2"/>
      <c r="C176" s="2"/>
      <c r="D176" s="2"/>
      <c r="E176" s="2"/>
      <c r="F176" s="2"/>
      <c r="G176" s="2"/>
      <c r="H176" s="2"/>
      <c r="I176" s="2"/>
      <c r="J176" s="2"/>
      <c r="K176" s="2"/>
    </row>
    <row r="177" ht="15.75" customHeight="1">
      <c r="A177" s="2"/>
      <c r="B177" s="2"/>
      <c r="C177" s="2"/>
      <c r="D177" s="2"/>
      <c r="E177" s="2"/>
      <c r="F177" s="2"/>
      <c r="G177" s="2"/>
      <c r="H177" s="2"/>
      <c r="I177" s="2"/>
      <c r="J177" s="2"/>
      <c r="K177" s="2"/>
    </row>
    <row r="178" ht="15.75" customHeight="1">
      <c r="A178" s="2"/>
      <c r="B178" s="2"/>
      <c r="C178" s="2"/>
      <c r="D178" s="2"/>
      <c r="E178" s="2"/>
      <c r="F178" s="2"/>
      <c r="G178" s="2"/>
      <c r="H178" s="2"/>
      <c r="I178" s="2"/>
      <c r="J178" s="2"/>
      <c r="K178" s="2"/>
    </row>
    <row r="179" ht="15.75" customHeight="1">
      <c r="A179" s="2"/>
      <c r="B179" s="2"/>
      <c r="C179" s="2"/>
      <c r="D179" s="2"/>
      <c r="E179" s="2"/>
      <c r="F179" s="2"/>
      <c r="G179" s="2"/>
      <c r="H179" s="2"/>
      <c r="I179" s="2"/>
      <c r="J179" s="2"/>
      <c r="K179" s="2"/>
    </row>
    <row r="180" ht="15.75" customHeight="1">
      <c r="A180" s="2"/>
      <c r="B180" s="2"/>
      <c r="C180" s="2"/>
      <c r="D180" s="2"/>
      <c r="E180" s="2"/>
      <c r="F180" s="2"/>
      <c r="G180" s="2"/>
      <c r="H180" s="2"/>
      <c r="I180" s="2"/>
      <c r="J180" s="2"/>
      <c r="K180" s="2"/>
    </row>
    <row r="181" ht="15.75" customHeight="1">
      <c r="A181" s="2"/>
      <c r="B181" s="2"/>
      <c r="C181" s="2"/>
      <c r="D181" s="2"/>
      <c r="E181" s="2"/>
      <c r="F181" s="2"/>
      <c r="G181" s="2"/>
      <c r="H181" s="2"/>
      <c r="I181" s="2"/>
      <c r="J181" s="2"/>
      <c r="K181" s="2"/>
    </row>
    <row r="182" ht="15.75" customHeight="1">
      <c r="A182" s="2"/>
      <c r="B182" s="2"/>
      <c r="C182" s="2"/>
      <c r="D182" s="2"/>
      <c r="E182" s="2"/>
      <c r="F182" s="2"/>
      <c r="G182" s="2"/>
      <c r="H182" s="2"/>
      <c r="I182" s="2"/>
      <c r="J182" s="2"/>
      <c r="K182" s="2"/>
    </row>
    <row r="183" ht="15.75" customHeight="1">
      <c r="A183" s="2"/>
      <c r="B183" s="2"/>
      <c r="C183" s="2"/>
      <c r="D183" s="2"/>
      <c r="E183" s="2"/>
      <c r="F183" s="2"/>
      <c r="G183" s="2"/>
      <c r="H183" s="2"/>
      <c r="I183" s="2"/>
      <c r="J183" s="2"/>
      <c r="K183" s="2"/>
    </row>
    <row r="184" ht="15.75" customHeight="1">
      <c r="A184" s="2"/>
      <c r="B184" s="2"/>
      <c r="C184" s="2"/>
      <c r="D184" s="2"/>
      <c r="E184" s="2"/>
      <c r="F184" s="2"/>
      <c r="G184" s="2"/>
      <c r="H184" s="2"/>
      <c r="I184" s="2"/>
      <c r="J184" s="2"/>
      <c r="K184" s="2"/>
    </row>
    <row r="185" ht="15.75" customHeight="1">
      <c r="A185" s="2"/>
      <c r="B185" s="2"/>
      <c r="C185" s="2"/>
      <c r="D185" s="2"/>
      <c r="E185" s="2"/>
      <c r="F185" s="2"/>
      <c r="G185" s="2"/>
      <c r="H185" s="2"/>
      <c r="I185" s="2"/>
      <c r="J185" s="2"/>
      <c r="K185" s="2"/>
    </row>
    <row r="186" ht="15.75" customHeight="1">
      <c r="A186" s="2"/>
      <c r="B186" s="2"/>
      <c r="C186" s="2"/>
      <c r="D186" s="2"/>
      <c r="E186" s="2"/>
      <c r="F186" s="2"/>
      <c r="G186" s="2"/>
      <c r="H186" s="2"/>
      <c r="I186" s="2"/>
      <c r="J186" s="2"/>
      <c r="K186" s="2"/>
    </row>
    <row r="187" ht="15.75" customHeight="1">
      <c r="A187" s="2"/>
      <c r="B187" s="2"/>
      <c r="C187" s="2"/>
      <c r="D187" s="2"/>
      <c r="E187" s="2"/>
      <c r="F187" s="2"/>
      <c r="G187" s="2"/>
      <c r="H187" s="2"/>
      <c r="I187" s="2"/>
      <c r="J187" s="2"/>
      <c r="K187" s="2"/>
    </row>
    <row r="188" ht="15.75" customHeight="1">
      <c r="A188" s="2"/>
      <c r="B188" s="2"/>
      <c r="C188" s="2"/>
      <c r="D188" s="2"/>
      <c r="E188" s="2"/>
      <c r="F188" s="2"/>
      <c r="G188" s="2"/>
      <c r="H188" s="2"/>
      <c r="I188" s="2"/>
      <c r="J188" s="2"/>
      <c r="K188" s="2"/>
    </row>
    <row r="189" ht="15.75" customHeight="1">
      <c r="A189" s="2"/>
      <c r="B189" s="2"/>
      <c r="C189" s="2"/>
      <c r="D189" s="2"/>
      <c r="E189" s="2"/>
      <c r="F189" s="2"/>
      <c r="G189" s="2"/>
      <c r="H189" s="2"/>
      <c r="I189" s="2"/>
      <c r="J189" s="2"/>
      <c r="K189" s="2"/>
    </row>
    <row r="190" ht="15.75" customHeight="1">
      <c r="A190" s="2"/>
      <c r="B190" s="2"/>
      <c r="C190" s="2"/>
      <c r="D190" s="2"/>
      <c r="E190" s="2"/>
      <c r="F190" s="2"/>
      <c r="G190" s="2"/>
      <c r="H190" s="2"/>
      <c r="I190" s="2"/>
      <c r="J190" s="2"/>
      <c r="K190" s="2"/>
    </row>
    <row r="191" ht="15.75" customHeight="1">
      <c r="A191" s="2"/>
      <c r="B191" s="2"/>
      <c r="C191" s="2"/>
      <c r="D191" s="2"/>
      <c r="E191" s="2"/>
      <c r="F191" s="2"/>
      <c r="G191" s="2"/>
      <c r="H191" s="2"/>
      <c r="I191" s="2"/>
      <c r="J191" s="2"/>
      <c r="K191" s="2"/>
    </row>
    <row r="192" ht="15.75" customHeight="1">
      <c r="A192" s="2"/>
      <c r="B192" s="2"/>
      <c r="C192" s="2"/>
      <c r="D192" s="2"/>
      <c r="E192" s="2"/>
      <c r="F192" s="2"/>
      <c r="G192" s="2"/>
      <c r="H192" s="2"/>
      <c r="I192" s="2"/>
      <c r="J192" s="2"/>
      <c r="K192" s="2"/>
    </row>
    <row r="193" ht="15.75" customHeight="1">
      <c r="A193" s="2"/>
      <c r="B193" s="2"/>
      <c r="C193" s="2"/>
      <c r="D193" s="2"/>
      <c r="E193" s="2"/>
      <c r="F193" s="2"/>
      <c r="G193" s="2"/>
      <c r="H193" s="2"/>
      <c r="I193" s="2"/>
      <c r="J193" s="2"/>
      <c r="K193" s="2"/>
    </row>
    <row r="194" ht="15.75" customHeight="1">
      <c r="A194" s="2"/>
      <c r="B194" s="2"/>
      <c r="C194" s="2"/>
      <c r="D194" s="2"/>
      <c r="E194" s="2"/>
      <c r="F194" s="2"/>
      <c r="G194" s="2"/>
      <c r="H194" s="2"/>
      <c r="I194" s="2"/>
      <c r="J194" s="2"/>
      <c r="K194" s="2"/>
    </row>
    <row r="195" ht="15.75" customHeight="1">
      <c r="A195" s="2"/>
      <c r="B195" s="2"/>
      <c r="C195" s="2"/>
      <c r="D195" s="2"/>
      <c r="E195" s="2"/>
      <c r="F195" s="2"/>
      <c r="G195" s="2"/>
      <c r="H195" s="2"/>
      <c r="I195" s="2"/>
      <c r="J195" s="2"/>
      <c r="K195" s="2"/>
    </row>
    <row r="196" ht="15.75" customHeight="1">
      <c r="A196" s="2"/>
      <c r="B196" s="2"/>
      <c r="C196" s="2"/>
      <c r="D196" s="2"/>
      <c r="E196" s="2"/>
      <c r="F196" s="2"/>
      <c r="G196" s="2"/>
      <c r="H196" s="2"/>
      <c r="I196" s="2"/>
      <c r="J196" s="2"/>
      <c r="K196" s="2"/>
    </row>
    <row r="197" ht="15.75" customHeight="1">
      <c r="A197" s="2"/>
      <c r="B197" s="2"/>
      <c r="C197" s="2"/>
      <c r="D197" s="2"/>
      <c r="E197" s="2"/>
      <c r="F197" s="2"/>
      <c r="G197" s="2"/>
      <c r="H197" s="2"/>
      <c r="I197" s="2"/>
      <c r="J197" s="2"/>
      <c r="K197" s="2"/>
    </row>
    <row r="198" ht="15.75" customHeight="1">
      <c r="A198" s="2"/>
      <c r="B198" s="2"/>
      <c r="C198" s="2"/>
      <c r="D198" s="2"/>
      <c r="E198" s="2"/>
      <c r="F198" s="2"/>
      <c r="G198" s="2"/>
      <c r="H198" s="2"/>
      <c r="I198" s="2"/>
      <c r="J198" s="2"/>
      <c r="K198" s="2"/>
    </row>
    <row r="199" ht="15.75" customHeight="1">
      <c r="A199" s="2"/>
      <c r="B199" s="2"/>
      <c r="C199" s="2"/>
      <c r="D199" s="2"/>
      <c r="E199" s="2"/>
      <c r="F199" s="2"/>
      <c r="G199" s="2"/>
      <c r="H199" s="2"/>
      <c r="I199" s="2"/>
      <c r="J199" s="2"/>
      <c r="K199" s="2"/>
    </row>
    <row r="200" ht="15.75" customHeight="1">
      <c r="A200" s="2"/>
      <c r="B200" s="2"/>
      <c r="C200" s="2"/>
      <c r="D200" s="2"/>
      <c r="E200" s="2"/>
      <c r="F200" s="2"/>
      <c r="G200" s="2"/>
      <c r="H200" s="2"/>
      <c r="I200" s="2"/>
      <c r="J200" s="2"/>
      <c r="K200" s="2"/>
    </row>
    <row r="201" ht="15.75" customHeight="1">
      <c r="A201" s="2"/>
      <c r="B201" s="2"/>
      <c r="C201" s="2"/>
      <c r="D201" s="2"/>
      <c r="E201" s="2"/>
      <c r="F201" s="2"/>
      <c r="G201" s="2"/>
      <c r="H201" s="2"/>
      <c r="I201" s="2"/>
      <c r="J201" s="2"/>
      <c r="K201" s="2"/>
    </row>
    <row r="202" ht="15.75" customHeight="1">
      <c r="A202" s="2"/>
      <c r="B202" s="2"/>
      <c r="C202" s="2"/>
      <c r="D202" s="2"/>
      <c r="E202" s="2"/>
      <c r="F202" s="2"/>
      <c r="G202" s="2"/>
      <c r="H202" s="2"/>
      <c r="I202" s="2"/>
      <c r="J202" s="2"/>
      <c r="K202" s="2"/>
    </row>
    <row r="203" ht="15.75" customHeight="1">
      <c r="A203" s="2"/>
      <c r="B203" s="2"/>
      <c r="C203" s="2"/>
      <c r="D203" s="2"/>
      <c r="E203" s="2"/>
      <c r="F203" s="2"/>
      <c r="G203" s="2"/>
      <c r="H203" s="2"/>
      <c r="I203" s="2"/>
      <c r="J203" s="2"/>
      <c r="K203" s="2"/>
    </row>
    <row r="204" ht="15.75" customHeight="1">
      <c r="A204" s="2"/>
      <c r="B204" s="2"/>
      <c r="C204" s="2"/>
      <c r="D204" s="2"/>
      <c r="E204" s="2"/>
      <c r="F204" s="2"/>
      <c r="G204" s="2"/>
      <c r="H204" s="2"/>
      <c r="I204" s="2"/>
      <c r="J204" s="2"/>
      <c r="K204" s="2"/>
    </row>
    <row r="205" ht="15.75" customHeight="1">
      <c r="A205" s="2"/>
      <c r="B205" s="2"/>
      <c r="C205" s="2"/>
      <c r="D205" s="2"/>
      <c r="E205" s="2"/>
      <c r="F205" s="2"/>
      <c r="G205" s="2"/>
      <c r="H205" s="2"/>
      <c r="I205" s="2"/>
      <c r="J205" s="2"/>
      <c r="K205" s="2"/>
    </row>
    <row r="206" ht="15.75" customHeight="1">
      <c r="A206" s="2"/>
      <c r="B206" s="2"/>
      <c r="C206" s="2"/>
      <c r="D206" s="2"/>
      <c r="E206" s="2"/>
      <c r="F206" s="2"/>
      <c r="G206" s="2"/>
      <c r="H206" s="2"/>
      <c r="I206" s="2"/>
      <c r="J206" s="2"/>
      <c r="K206" s="2"/>
    </row>
    <row r="207" ht="15.75" customHeight="1">
      <c r="A207" s="2"/>
      <c r="B207" s="2"/>
      <c r="C207" s="2"/>
      <c r="D207" s="2"/>
      <c r="E207" s="2"/>
      <c r="F207" s="2"/>
      <c r="G207" s="2"/>
      <c r="H207" s="2"/>
      <c r="I207" s="2"/>
      <c r="J207" s="2"/>
      <c r="K207" s="2"/>
    </row>
    <row r="208" ht="15.75" customHeight="1">
      <c r="A208" s="2"/>
      <c r="B208" s="2"/>
      <c r="C208" s="2"/>
      <c r="D208" s="2"/>
      <c r="E208" s="2"/>
      <c r="F208" s="2"/>
      <c r="G208" s="2"/>
      <c r="H208" s="2"/>
      <c r="I208" s="2"/>
      <c r="J208" s="2"/>
      <c r="K208" s="2"/>
    </row>
    <row r="209" ht="15.75" customHeight="1">
      <c r="A209" s="2"/>
      <c r="B209" s="2"/>
      <c r="C209" s="2"/>
      <c r="D209" s="2"/>
      <c r="E209" s="2"/>
      <c r="F209" s="2"/>
      <c r="G209" s="2"/>
      <c r="H209" s="2"/>
      <c r="I209" s="2"/>
      <c r="J209" s="2"/>
      <c r="K209" s="2"/>
    </row>
    <row r="210" ht="15.75" customHeight="1">
      <c r="A210" s="2"/>
      <c r="B210" s="2"/>
      <c r="C210" s="2"/>
      <c r="D210" s="2"/>
      <c r="E210" s="2"/>
      <c r="F210" s="2"/>
      <c r="G210" s="2"/>
      <c r="H210" s="2"/>
      <c r="I210" s="2"/>
      <c r="J210" s="2"/>
      <c r="K210" s="2"/>
    </row>
    <row r="211" ht="15.75" customHeight="1">
      <c r="A211" s="2"/>
      <c r="B211" s="2"/>
      <c r="C211" s="2"/>
      <c r="D211" s="2"/>
      <c r="E211" s="2"/>
      <c r="F211" s="2"/>
      <c r="G211" s="2"/>
      <c r="H211" s="2"/>
      <c r="I211" s="2"/>
      <c r="J211" s="2"/>
      <c r="K211" s="2"/>
    </row>
    <row r="212" ht="15.75" customHeight="1">
      <c r="A212" s="2"/>
      <c r="B212" s="2"/>
      <c r="C212" s="2"/>
      <c r="D212" s="2"/>
      <c r="E212" s="2"/>
      <c r="F212" s="2"/>
      <c r="G212" s="2"/>
      <c r="H212" s="2"/>
      <c r="I212" s="2"/>
      <c r="J212" s="2"/>
      <c r="K212" s="2"/>
    </row>
    <row r="213" ht="15.75" customHeight="1">
      <c r="A213" s="2"/>
      <c r="B213" s="2"/>
      <c r="C213" s="2"/>
      <c r="D213" s="2"/>
      <c r="E213" s="2"/>
      <c r="F213" s="2"/>
      <c r="G213" s="2"/>
      <c r="H213" s="2"/>
      <c r="I213" s="2"/>
      <c r="J213" s="2"/>
      <c r="K213" s="2"/>
    </row>
    <row r="214" ht="15.75" customHeight="1">
      <c r="A214" s="2"/>
      <c r="B214" s="2"/>
      <c r="C214" s="2"/>
      <c r="D214" s="2"/>
      <c r="E214" s="2"/>
      <c r="F214" s="2"/>
      <c r="G214" s="2"/>
      <c r="H214" s="2"/>
      <c r="I214" s="2"/>
      <c r="J214" s="2"/>
      <c r="K214" s="2"/>
    </row>
    <row r="215" ht="15.75" customHeight="1">
      <c r="A215" s="2"/>
      <c r="B215" s="2"/>
      <c r="C215" s="2"/>
      <c r="D215" s="2"/>
      <c r="E215" s="2"/>
      <c r="F215" s="2"/>
      <c r="G215" s="2"/>
      <c r="H215" s="2"/>
      <c r="I215" s="2"/>
      <c r="J215" s="2"/>
      <c r="K215" s="2"/>
    </row>
    <row r="216" ht="15.75" customHeight="1">
      <c r="A216" s="2"/>
      <c r="B216" s="2"/>
      <c r="C216" s="2"/>
      <c r="D216" s="2"/>
      <c r="E216" s="2"/>
      <c r="F216" s="2"/>
      <c r="G216" s="2"/>
      <c r="H216" s="2"/>
      <c r="I216" s="2"/>
      <c r="J216" s="2"/>
      <c r="K216" s="2"/>
    </row>
    <row r="217" ht="15.75" customHeight="1">
      <c r="A217" s="2"/>
      <c r="B217" s="2"/>
      <c r="C217" s="2"/>
      <c r="D217" s="2"/>
      <c r="E217" s="2"/>
      <c r="F217" s="2"/>
      <c r="G217" s="2"/>
      <c r="H217" s="2"/>
      <c r="I217" s="2"/>
      <c r="J217" s="2"/>
      <c r="K217" s="2"/>
    </row>
    <row r="218" ht="15.75" customHeight="1">
      <c r="A218" s="2"/>
      <c r="B218" s="2"/>
      <c r="C218" s="2"/>
      <c r="D218" s="2"/>
      <c r="E218" s="2"/>
      <c r="F218" s="2"/>
      <c r="G218" s="2"/>
      <c r="H218" s="2"/>
      <c r="I218" s="2"/>
      <c r="J218" s="2"/>
      <c r="K218" s="2"/>
    </row>
    <row r="219" ht="15.75" customHeight="1">
      <c r="A219" s="2"/>
      <c r="B219" s="2"/>
      <c r="C219" s="2"/>
      <c r="D219" s="2"/>
      <c r="E219" s="2"/>
      <c r="F219" s="2"/>
      <c r="G219" s="2"/>
      <c r="H219" s="2"/>
      <c r="I219" s="2"/>
      <c r="J219" s="2"/>
      <c r="K219" s="2"/>
    </row>
    <row r="220" ht="15.75" customHeight="1">
      <c r="A220" s="2"/>
      <c r="B220" s="2"/>
      <c r="C220" s="2"/>
      <c r="D220" s="2"/>
      <c r="E220" s="2"/>
      <c r="F220" s="2"/>
      <c r="G220" s="2"/>
      <c r="H220" s="2"/>
      <c r="I220" s="2"/>
      <c r="J220" s="2"/>
      <c r="K220" s="2"/>
    </row>
  </sheetData>
  <mergeCells count="1">
    <mergeCell ref="A1:D1"/>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41.25"/>
    <col customWidth="1" min="2" max="2" width="36.75"/>
    <col customWidth="1" min="3" max="3" width="50.75"/>
    <col customWidth="1" min="4" max="4" width="47.25"/>
    <col customWidth="1" min="5" max="5" width="19.25"/>
    <col customWidth="1" min="6" max="6" width="50.75"/>
    <col customWidth="1" min="7" max="7" width="21.0"/>
    <col customWidth="1" min="8" max="8" width="50.75"/>
    <col customWidth="1" min="9" max="9" width="14.0"/>
    <col customWidth="1" min="10" max="10" width="8.75"/>
    <col customWidth="1" min="11" max="11" width="14.0"/>
    <col customWidth="1" min="12" max="12" width="50.75"/>
  </cols>
  <sheetData>
    <row r="1" ht="21.0" customHeight="1">
      <c r="A1" s="4" t="s">
        <v>15</v>
      </c>
      <c r="B1" s="5" t="s">
        <v>16</v>
      </c>
      <c r="C1" s="6"/>
      <c r="D1" s="6"/>
      <c r="E1" s="6"/>
      <c r="F1" s="6"/>
      <c r="G1" s="6"/>
      <c r="H1" s="6"/>
      <c r="I1" s="6"/>
      <c r="J1" s="6"/>
      <c r="K1" s="6"/>
      <c r="L1" s="6"/>
      <c r="M1" s="6"/>
      <c r="N1" s="6"/>
      <c r="O1" s="6"/>
      <c r="P1" s="6"/>
      <c r="Q1" s="6"/>
      <c r="R1" s="6"/>
      <c r="S1" s="6"/>
      <c r="T1" s="6"/>
      <c r="U1" s="6"/>
      <c r="V1" s="6"/>
      <c r="W1" s="6"/>
      <c r="X1" s="6"/>
      <c r="Y1" s="6"/>
      <c r="Z1" s="6"/>
    </row>
    <row r="2" ht="21.0" customHeight="1">
      <c r="A2" s="4" t="s">
        <v>17</v>
      </c>
      <c r="B2" s="5" t="s">
        <v>18</v>
      </c>
      <c r="C2" s="6"/>
      <c r="D2" s="6"/>
      <c r="E2" s="6"/>
      <c r="F2" s="6"/>
      <c r="G2" s="6"/>
      <c r="H2" s="6"/>
      <c r="I2" s="6"/>
      <c r="J2" s="6"/>
      <c r="K2" s="6"/>
      <c r="L2" s="6"/>
      <c r="M2" s="6"/>
      <c r="N2" s="6"/>
      <c r="O2" s="6"/>
      <c r="P2" s="6"/>
      <c r="Q2" s="6"/>
      <c r="R2" s="6"/>
      <c r="S2" s="6"/>
      <c r="T2" s="6"/>
      <c r="U2" s="6"/>
      <c r="V2" s="6"/>
      <c r="W2" s="6"/>
      <c r="X2" s="6"/>
      <c r="Y2" s="6"/>
      <c r="Z2" s="6"/>
    </row>
    <row r="3" ht="21.0" customHeight="1">
      <c r="A3" s="4" t="s">
        <v>19</v>
      </c>
      <c r="B3" s="5" t="s">
        <v>20</v>
      </c>
      <c r="C3" s="6"/>
      <c r="D3" s="6"/>
      <c r="E3" s="6"/>
      <c r="F3" s="6"/>
      <c r="G3" s="6"/>
      <c r="H3" s="6"/>
      <c r="I3" s="6"/>
      <c r="J3" s="6"/>
      <c r="K3" s="6"/>
      <c r="L3" s="6"/>
      <c r="M3" s="6"/>
      <c r="N3" s="6"/>
      <c r="O3" s="6"/>
      <c r="P3" s="6"/>
      <c r="Q3" s="6"/>
      <c r="R3" s="6"/>
      <c r="S3" s="6"/>
      <c r="T3" s="6"/>
      <c r="U3" s="6"/>
      <c r="V3" s="6"/>
      <c r="W3" s="6"/>
      <c r="X3" s="6"/>
      <c r="Y3" s="6"/>
      <c r="Z3" s="6"/>
    </row>
    <row r="4" ht="21.0" customHeight="1">
      <c r="A4" s="6"/>
      <c r="B4" s="6"/>
      <c r="C4" s="6"/>
      <c r="D4" s="6"/>
      <c r="E4" s="6"/>
      <c r="F4" s="6"/>
      <c r="G4" s="6"/>
      <c r="H4" s="6"/>
      <c r="I4" s="6"/>
      <c r="J4" s="6"/>
      <c r="K4" s="6"/>
      <c r="L4" s="6"/>
      <c r="M4" s="6"/>
      <c r="N4" s="6"/>
      <c r="O4" s="6"/>
      <c r="P4" s="6"/>
      <c r="Q4" s="6"/>
      <c r="R4" s="6"/>
      <c r="S4" s="6"/>
      <c r="T4" s="6"/>
      <c r="U4" s="6"/>
      <c r="V4" s="6"/>
      <c r="W4" s="6"/>
      <c r="X4" s="6"/>
      <c r="Y4" s="6"/>
      <c r="Z4" s="6"/>
    </row>
    <row r="5" ht="21.0" customHeight="1">
      <c r="A5" s="7" t="s">
        <v>21</v>
      </c>
      <c r="B5" s="7" t="s">
        <v>22</v>
      </c>
      <c r="C5" s="7" t="s">
        <v>23</v>
      </c>
      <c r="D5" s="7" t="s">
        <v>24</v>
      </c>
      <c r="E5" s="7" t="s">
        <v>25</v>
      </c>
      <c r="F5" s="7" t="s">
        <v>26</v>
      </c>
      <c r="G5" s="7" t="s">
        <v>27</v>
      </c>
      <c r="H5" s="7" t="s">
        <v>28</v>
      </c>
      <c r="I5" s="7" t="s">
        <v>29</v>
      </c>
      <c r="J5" s="7" t="s">
        <v>30</v>
      </c>
      <c r="K5" s="7" t="s">
        <v>31</v>
      </c>
      <c r="L5" s="7" t="s">
        <v>32</v>
      </c>
      <c r="M5" s="6"/>
      <c r="N5" s="6"/>
      <c r="O5" s="6"/>
      <c r="P5" s="6"/>
      <c r="Q5" s="6"/>
      <c r="R5" s="6"/>
      <c r="S5" s="6"/>
      <c r="T5" s="6"/>
      <c r="U5" s="6"/>
      <c r="V5" s="6"/>
      <c r="W5" s="6"/>
      <c r="X5" s="6"/>
      <c r="Y5" s="6"/>
      <c r="Z5" s="6"/>
    </row>
    <row r="6" ht="21.0" customHeight="1">
      <c r="A6" s="8" t="s">
        <v>33</v>
      </c>
      <c r="B6" s="9" t="s">
        <v>34</v>
      </c>
      <c r="C6" s="10" t="str">
        <f t="shared" ref="C6:C86" si="1">$B$1&amp;B6</f>
        <v>https://jonathan-harris.online/</v>
      </c>
      <c r="D6" s="11" t="s">
        <v>35</v>
      </c>
      <c r="E6" s="11" t="s">
        <v>36</v>
      </c>
      <c r="F6" s="12"/>
      <c r="G6" s="12"/>
      <c r="H6" s="11"/>
      <c r="I6" s="11" t="str">
        <f>IFERROR(VLOOKUP($F6,'BuyNow Redirects'!$C$2:$J$37,5,FALSE),"")</f>
        <v/>
      </c>
      <c r="J6" s="13" t="str">
        <f>IFERROR(VLOOKUP($F6,'BuyNow Redirects'!$C$2:$J$37,6,FALSE),"")</f>
        <v/>
      </c>
      <c r="K6" s="14" t="str">
        <f>IFERROR(VLOOKUP($F6,'BuyNow Redirects'!$C$2:$J$37,7,FALSE),"")</f>
        <v/>
      </c>
      <c r="L6" s="12" t="str">
        <f>IFERROR(VLOOKUP($F6,'BuyNow Redirects'!$C$2:$J$37,8,FALSE),"")</f>
        <v/>
      </c>
      <c r="M6" s="6"/>
      <c r="N6" s="6"/>
      <c r="O6" s="6"/>
      <c r="P6" s="6"/>
      <c r="Q6" s="6"/>
      <c r="R6" s="6"/>
      <c r="S6" s="6"/>
      <c r="T6" s="6"/>
      <c r="U6" s="6"/>
      <c r="V6" s="6"/>
      <c r="W6" s="6"/>
      <c r="X6" s="6"/>
      <c r="Y6" s="6"/>
      <c r="Z6" s="6"/>
    </row>
    <row r="7" ht="21.0" customHeight="1">
      <c r="A7" s="15" t="s">
        <v>37</v>
      </c>
      <c r="B7" s="16" t="s">
        <v>38</v>
      </c>
      <c r="C7" s="17" t="str">
        <f t="shared" si="1"/>
        <v>https://jonathan-harris.online/404</v>
      </c>
      <c r="D7" s="18" t="s">
        <v>39</v>
      </c>
      <c r="E7" s="18" t="s">
        <v>36</v>
      </c>
      <c r="F7" s="19"/>
      <c r="G7" s="19"/>
      <c r="H7" s="18"/>
      <c r="I7" s="18" t="str">
        <f>IFERROR(VLOOKUP($F7,'BuyNow Redirects'!$C$2:$J$37,5,FALSE),"")</f>
        <v/>
      </c>
      <c r="J7" s="20" t="str">
        <f>IFERROR(VLOOKUP($F7,'BuyNow Redirects'!$C$2:$J$37,6,FALSE),"")</f>
        <v/>
      </c>
      <c r="K7" s="21" t="str">
        <f>IFERROR(VLOOKUP($F7,'BuyNow Redirects'!$C$2:$J$37,7,FALSE),"")</f>
        <v/>
      </c>
      <c r="L7" s="19" t="str">
        <f>IFERROR(VLOOKUP($F7,'BuyNow Redirects'!$C$2:$J$37,8,FALSE),"")</f>
        <v/>
      </c>
      <c r="M7" s="6"/>
      <c r="N7" s="6"/>
      <c r="O7" s="6"/>
      <c r="P7" s="6"/>
      <c r="Q7" s="6"/>
      <c r="R7" s="6"/>
      <c r="S7" s="6"/>
      <c r="T7" s="6"/>
      <c r="U7" s="6"/>
      <c r="V7" s="6"/>
      <c r="W7" s="6"/>
      <c r="X7" s="6"/>
      <c r="Y7" s="6"/>
      <c r="Z7" s="6"/>
    </row>
    <row r="8" ht="21.0" customHeight="1">
      <c r="A8" s="8" t="s">
        <v>40</v>
      </c>
      <c r="B8" s="9" t="s">
        <v>41</v>
      </c>
      <c r="C8" s="10" t="str">
        <f t="shared" si="1"/>
        <v>https://jonathan-harris.online/affiliate/</v>
      </c>
      <c r="D8" s="11" t="s">
        <v>42</v>
      </c>
      <c r="E8" s="11" t="s">
        <v>36</v>
      </c>
      <c r="F8" s="12"/>
      <c r="G8" s="12"/>
      <c r="H8" s="11"/>
      <c r="I8" s="11" t="str">
        <f>IFERROR(VLOOKUP($F8,'BuyNow Redirects'!$C$2:$J$37,5,FALSE),"")</f>
        <v/>
      </c>
      <c r="J8" s="13" t="str">
        <f>IFERROR(VLOOKUP($F8,'BuyNow Redirects'!$C$2:$J$37,6,FALSE),"")</f>
        <v/>
      </c>
      <c r="K8" s="14" t="str">
        <f>IFERROR(VLOOKUP($F8,'BuyNow Redirects'!$C$2:$J$37,7,FALSE),"")</f>
        <v/>
      </c>
      <c r="L8" s="12" t="str">
        <f>IFERROR(VLOOKUP($F8,'BuyNow Redirects'!$C$2:$J$37,8,FALSE),"")</f>
        <v/>
      </c>
      <c r="M8" s="6"/>
      <c r="N8" s="6"/>
      <c r="O8" s="6"/>
      <c r="P8" s="6"/>
      <c r="Q8" s="6"/>
      <c r="R8" s="6"/>
      <c r="S8" s="6"/>
      <c r="T8" s="6"/>
      <c r="U8" s="6"/>
      <c r="V8" s="6"/>
      <c r="W8" s="6"/>
      <c r="X8" s="6"/>
      <c r="Y8" s="6"/>
      <c r="Z8" s="6"/>
    </row>
    <row r="9" ht="21.0" customHeight="1">
      <c r="A9" s="15" t="s">
        <v>43</v>
      </c>
      <c r="B9" s="16" t="s">
        <v>44</v>
      </c>
      <c r="C9" s="17" t="str">
        <f t="shared" si="1"/>
        <v>https://jonathan-harris.online/topics/ai-for-beginners/</v>
      </c>
      <c r="D9" s="18" t="s">
        <v>45</v>
      </c>
      <c r="E9" s="18" t="s">
        <v>36</v>
      </c>
      <c r="F9" s="19"/>
      <c r="G9" s="19"/>
      <c r="H9" s="18"/>
      <c r="I9" s="18" t="str">
        <f>IFERROR(VLOOKUP($F9,'BuyNow Redirects'!$C$2:$J$37,5,FALSE),"")</f>
        <v/>
      </c>
      <c r="J9" s="20" t="str">
        <f>IFERROR(VLOOKUP($F9,'BuyNow Redirects'!$C$2:$J$37,6,FALSE),"")</f>
        <v/>
      </c>
      <c r="K9" s="21" t="str">
        <f>IFERROR(VLOOKUP($F9,'BuyNow Redirects'!$C$2:$J$37,7,FALSE),"")</f>
        <v/>
      </c>
      <c r="L9" s="19" t="str">
        <f>IFERROR(VLOOKUP($F9,'BuyNow Redirects'!$C$2:$J$37,8,FALSE),"")</f>
        <v/>
      </c>
      <c r="M9" s="6"/>
      <c r="N9" s="6"/>
      <c r="O9" s="6"/>
      <c r="P9" s="6"/>
      <c r="Q9" s="6"/>
      <c r="R9" s="6"/>
      <c r="S9" s="6"/>
      <c r="T9" s="6"/>
      <c r="U9" s="6"/>
      <c r="V9" s="6"/>
      <c r="W9" s="6"/>
      <c r="X9" s="6"/>
      <c r="Y9" s="6"/>
      <c r="Z9" s="6"/>
    </row>
    <row r="10" ht="21.0" customHeight="1">
      <c r="A10" s="8" t="s">
        <v>46</v>
      </c>
      <c r="B10" s="9" t="s">
        <v>47</v>
      </c>
      <c r="C10" s="10" t="str">
        <f t="shared" si="1"/>
        <v>https://jonathan-harris.online/topics/ai-in-business/</v>
      </c>
      <c r="D10" s="11" t="s">
        <v>48</v>
      </c>
      <c r="E10" s="11" t="s">
        <v>36</v>
      </c>
      <c r="F10" s="12"/>
      <c r="G10" s="12"/>
      <c r="H10" s="18"/>
      <c r="I10" s="11" t="str">
        <f>IFERROR(VLOOKUP($F10,'BuyNow Redirects'!$C$2:$J$37,5,FALSE),"")</f>
        <v/>
      </c>
      <c r="J10" s="13" t="str">
        <f>IFERROR(VLOOKUP($F10,'BuyNow Redirects'!$C$2:$J$37,6,FALSE),"")</f>
        <v/>
      </c>
      <c r="K10" s="14" t="str">
        <f>IFERROR(VLOOKUP($F10,'BuyNow Redirects'!$C$2:$J$37,7,FALSE),"")</f>
        <v/>
      </c>
      <c r="L10" s="12" t="str">
        <f>IFERROR(VLOOKUP($F10,'BuyNow Redirects'!$C$2:$J$37,8,FALSE),"")</f>
        <v/>
      </c>
      <c r="M10" s="6"/>
      <c r="N10" s="6"/>
      <c r="O10" s="6"/>
      <c r="P10" s="6"/>
      <c r="Q10" s="6"/>
      <c r="R10" s="6"/>
      <c r="S10" s="6"/>
      <c r="T10" s="6"/>
      <c r="U10" s="6"/>
      <c r="V10" s="6"/>
      <c r="W10" s="6"/>
      <c r="X10" s="6"/>
      <c r="Y10" s="6"/>
      <c r="Z10" s="6"/>
    </row>
    <row r="11" ht="21.0" customHeight="1">
      <c r="A11" s="15" t="s">
        <v>49</v>
      </c>
      <c r="B11" s="16" t="s">
        <v>50</v>
      </c>
      <c r="C11" s="17" t="str">
        <f t="shared" si="1"/>
        <v>https://jonathan-harris.online/topics/ai-in-healthcare/</v>
      </c>
      <c r="D11" s="18" t="s">
        <v>51</v>
      </c>
      <c r="E11" s="18" t="s">
        <v>36</v>
      </c>
      <c r="F11" s="19"/>
      <c r="G11" s="19"/>
      <c r="H11" s="18"/>
      <c r="I11" s="18" t="str">
        <f>IFERROR(VLOOKUP($F11,'BuyNow Redirects'!$C$2:$J$37,5,FALSE),"")</f>
        <v/>
      </c>
      <c r="J11" s="20" t="str">
        <f>IFERROR(VLOOKUP($F11,'BuyNow Redirects'!$C$2:$J$37,6,FALSE),"")</f>
        <v/>
      </c>
      <c r="K11" s="21" t="str">
        <f>IFERROR(VLOOKUP($F11,'BuyNow Redirects'!$C$2:$J$37,7,FALSE),"")</f>
        <v/>
      </c>
      <c r="L11" s="19" t="str">
        <f>IFERROR(VLOOKUP($F11,'BuyNow Redirects'!$C$2:$J$37,8,FALSE),"")</f>
        <v/>
      </c>
      <c r="M11" s="6"/>
      <c r="N11" s="6"/>
      <c r="O11" s="6"/>
      <c r="P11" s="6"/>
      <c r="Q11" s="6"/>
      <c r="R11" s="6"/>
      <c r="S11" s="6"/>
      <c r="T11" s="6"/>
      <c r="U11" s="6"/>
      <c r="V11" s="6"/>
      <c r="W11" s="6"/>
      <c r="X11" s="6"/>
      <c r="Y11" s="6"/>
      <c r="Z11" s="6"/>
    </row>
    <row r="12" ht="21.0" customHeight="1">
      <c r="A12" s="8" t="s">
        <v>52</v>
      </c>
      <c r="B12" s="9" t="s">
        <v>53</v>
      </c>
      <c r="C12" s="10" t="str">
        <f t="shared" si="1"/>
        <v>https://jonathan-harris.online/api/docs/</v>
      </c>
      <c r="D12" s="11" t="s">
        <v>54</v>
      </c>
      <c r="E12" s="11" t="s">
        <v>36</v>
      </c>
      <c r="F12" s="12"/>
      <c r="G12" s="12"/>
      <c r="H12" s="11"/>
      <c r="I12" s="11" t="str">
        <f>IFERROR(VLOOKUP($F12,'BuyNow Redirects'!$C$2:$J$37,5,FALSE),"")</f>
        <v/>
      </c>
      <c r="J12" s="13" t="str">
        <f>IFERROR(VLOOKUP($F12,'BuyNow Redirects'!$C$2:$J$37,6,FALSE),"")</f>
        <v/>
      </c>
      <c r="K12" s="14" t="str">
        <f>IFERROR(VLOOKUP($F12,'BuyNow Redirects'!$C$2:$J$37,7,FALSE),"")</f>
        <v/>
      </c>
      <c r="L12" s="12" t="str">
        <f>IFERROR(VLOOKUP($F12,'BuyNow Redirects'!$C$2:$J$37,8,FALSE),"")</f>
        <v/>
      </c>
      <c r="M12" s="6"/>
      <c r="N12" s="6"/>
      <c r="O12" s="6"/>
      <c r="P12" s="6"/>
      <c r="Q12" s="6"/>
      <c r="R12" s="6"/>
      <c r="S12" s="6"/>
      <c r="T12" s="6"/>
      <c r="U12" s="6"/>
      <c r="V12" s="6"/>
      <c r="W12" s="6"/>
      <c r="X12" s="6"/>
      <c r="Y12" s="6"/>
      <c r="Z12" s="6"/>
    </row>
    <row r="13" ht="21.0" customHeight="1">
      <c r="A13" s="15" t="s">
        <v>55</v>
      </c>
      <c r="B13" s="16" t="s">
        <v>56</v>
      </c>
      <c r="C13" s="17" t="str">
        <f t="shared" si="1"/>
        <v>https://jonathan-harris.online/bio/</v>
      </c>
      <c r="D13" s="18" t="s">
        <v>57</v>
      </c>
      <c r="E13" s="18" t="s">
        <v>36</v>
      </c>
      <c r="F13" s="19"/>
      <c r="G13" s="19"/>
      <c r="H13" s="18"/>
      <c r="I13" s="18" t="str">
        <f>IFERROR(VLOOKUP($F13,'BuyNow Redirects'!$C$2:$J$37,5,FALSE),"")</f>
        <v/>
      </c>
      <c r="J13" s="20" t="str">
        <f>IFERROR(VLOOKUP($F13,'BuyNow Redirects'!$C$2:$J$37,6,FALSE),"")</f>
        <v/>
      </c>
      <c r="K13" s="21" t="str">
        <f>IFERROR(VLOOKUP($F13,'BuyNow Redirects'!$C$2:$J$37,7,FALSE),"")</f>
        <v/>
      </c>
      <c r="L13" s="19" t="str">
        <f>IFERROR(VLOOKUP($F13,'BuyNow Redirects'!$C$2:$J$37,8,FALSE),"")</f>
        <v/>
      </c>
      <c r="M13" s="6"/>
      <c r="N13" s="6"/>
      <c r="O13" s="6"/>
      <c r="P13" s="6"/>
      <c r="Q13" s="6"/>
      <c r="R13" s="6"/>
      <c r="S13" s="6"/>
      <c r="T13" s="6"/>
      <c r="U13" s="6"/>
      <c r="V13" s="6"/>
      <c r="W13" s="6"/>
      <c r="X13" s="6"/>
      <c r="Y13" s="6"/>
      <c r="Z13" s="6"/>
    </row>
    <row r="14" ht="21.0" customHeight="1">
      <c r="A14" s="8" t="s">
        <v>58</v>
      </c>
      <c r="B14" s="9" t="s">
        <v>59</v>
      </c>
      <c r="C14" s="10" t="str">
        <f t="shared" si="1"/>
        <v>https://jonathan-harris.online/blog/</v>
      </c>
      <c r="D14" s="11" t="s">
        <v>60</v>
      </c>
      <c r="E14" s="11" t="s">
        <v>36</v>
      </c>
      <c r="F14" s="12"/>
      <c r="G14" s="12"/>
      <c r="H14" s="18"/>
      <c r="I14" s="11" t="str">
        <f>IFERROR(VLOOKUP($F14,'BuyNow Redirects'!$C$2:$J$37,5,FALSE),"")</f>
        <v/>
      </c>
      <c r="J14" s="13" t="str">
        <f>IFERROR(VLOOKUP($F14,'BuyNow Redirects'!$C$2:$J$37,6,FALSE),"")</f>
        <v/>
      </c>
      <c r="K14" s="14" t="str">
        <f>IFERROR(VLOOKUP($F14,'BuyNow Redirects'!$C$2:$J$37,7,FALSE),"")</f>
        <v/>
      </c>
      <c r="L14" s="12" t="str">
        <f>IFERROR(VLOOKUP($F14,'BuyNow Redirects'!$C$2:$J$37,8,FALSE),"")</f>
        <v/>
      </c>
      <c r="M14" s="6"/>
      <c r="N14" s="6"/>
      <c r="O14" s="6"/>
      <c r="P14" s="6"/>
      <c r="Q14" s="6"/>
      <c r="R14" s="6"/>
      <c r="S14" s="6"/>
      <c r="T14" s="6"/>
      <c r="U14" s="6"/>
      <c r="V14" s="6"/>
      <c r="W14" s="6"/>
      <c r="X14" s="6"/>
      <c r="Y14" s="6"/>
      <c r="Z14" s="6"/>
    </row>
    <row r="15" ht="21.0" customHeight="1">
      <c r="A15" s="15" t="s">
        <v>61</v>
      </c>
      <c r="B15" s="16" t="s">
        <v>62</v>
      </c>
      <c r="C15" s="17" t="str">
        <f t="shared" si="1"/>
        <v>https://jonathan-harris.online/blog/weekly/</v>
      </c>
      <c r="D15" s="18" t="s">
        <v>63</v>
      </c>
      <c r="E15" s="18" t="s">
        <v>36</v>
      </c>
      <c r="F15" s="19"/>
      <c r="G15" s="19"/>
      <c r="H15" s="18"/>
      <c r="I15" s="18" t="str">
        <f>IFERROR(VLOOKUP($F15,'BuyNow Redirects'!$C$2:$J$37,5,FALSE),"")</f>
        <v/>
      </c>
      <c r="J15" s="20" t="str">
        <f>IFERROR(VLOOKUP($F15,'BuyNow Redirects'!$C$2:$J$37,6,FALSE),"")</f>
        <v/>
      </c>
      <c r="K15" s="21" t="str">
        <f>IFERROR(VLOOKUP($F15,'BuyNow Redirects'!$C$2:$J$37,7,FALSE),"")</f>
        <v/>
      </c>
      <c r="L15" s="19" t="str">
        <f>IFERROR(VLOOKUP($F15,'BuyNow Redirects'!$C$2:$J$37,8,FALSE),"")</f>
        <v/>
      </c>
      <c r="M15" s="6"/>
      <c r="N15" s="6"/>
      <c r="O15" s="6"/>
      <c r="P15" s="6"/>
      <c r="Q15" s="6"/>
      <c r="R15" s="6"/>
      <c r="S15" s="6"/>
      <c r="T15" s="6"/>
      <c r="U15" s="6"/>
      <c r="V15" s="6"/>
      <c r="W15" s="6"/>
      <c r="X15" s="6"/>
      <c r="Y15" s="6"/>
      <c r="Z15" s="6"/>
    </row>
    <row r="16" ht="21.0" customHeight="1">
      <c r="A16" s="8" t="s">
        <v>64</v>
      </c>
      <c r="B16" s="9" t="s">
        <v>65</v>
      </c>
      <c r="C16" s="10" t="str">
        <f t="shared" si="1"/>
        <v>https://jonathan-harris.online/catalogue/agriculture/</v>
      </c>
      <c r="D16" s="11" t="s">
        <v>66</v>
      </c>
      <c r="E16" s="11" t="s">
        <v>36</v>
      </c>
      <c r="F16" s="12"/>
      <c r="G16" s="12"/>
      <c r="H16" s="11"/>
      <c r="I16" s="11" t="str">
        <f>IFERROR(VLOOKUP($F16,'BuyNow Redirects'!$C$2:$J$37,5,FALSE),"")</f>
        <v/>
      </c>
      <c r="J16" s="13" t="str">
        <f>IFERROR(VLOOKUP($F16,'BuyNow Redirects'!$C$2:$J$37,6,FALSE),"")</f>
        <v/>
      </c>
      <c r="K16" s="14" t="str">
        <f>IFERROR(VLOOKUP($F16,'BuyNow Redirects'!$C$2:$J$37,7,FALSE),"")</f>
        <v/>
      </c>
      <c r="L16" s="12" t="str">
        <f>IFERROR(VLOOKUP($F16,'BuyNow Redirects'!$C$2:$J$37,8,FALSE),"")</f>
        <v/>
      </c>
      <c r="M16" s="6"/>
      <c r="N16" s="6"/>
      <c r="O16" s="6"/>
      <c r="P16" s="6"/>
      <c r="Q16" s="6"/>
      <c r="R16" s="6"/>
      <c r="S16" s="6"/>
      <c r="T16" s="6"/>
      <c r="U16" s="6"/>
      <c r="V16" s="6"/>
      <c r="W16" s="6"/>
      <c r="X16" s="6"/>
      <c r="Y16" s="6"/>
      <c r="Z16" s="6"/>
    </row>
    <row r="17" ht="21.0" customHeight="1">
      <c r="A17" s="15" t="s">
        <v>67</v>
      </c>
      <c r="B17" s="16" t="s">
        <v>68</v>
      </c>
      <c r="C17" s="17" t="str">
        <f t="shared" si="1"/>
        <v>https://jonathan-harris.online/catalogue/artificial-intelligence/</v>
      </c>
      <c r="D17" s="18" t="s">
        <v>69</v>
      </c>
      <c r="E17" s="18" t="s">
        <v>36</v>
      </c>
      <c r="F17" s="19"/>
      <c r="G17" s="19"/>
      <c r="H17" s="18"/>
      <c r="I17" s="18" t="str">
        <f>IFERROR(VLOOKUP($F17,'BuyNow Redirects'!$C$2:$J$37,5,FALSE),"")</f>
        <v/>
      </c>
      <c r="J17" s="20" t="str">
        <f>IFERROR(VLOOKUP($F17,'BuyNow Redirects'!$C$2:$J$37,6,FALSE),"")</f>
        <v/>
      </c>
      <c r="K17" s="21" t="str">
        <f>IFERROR(VLOOKUP($F17,'BuyNow Redirects'!$C$2:$J$37,7,FALSE),"")</f>
        <v/>
      </c>
      <c r="L17" s="19" t="str">
        <f>IFERROR(VLOOKUP($F17,'BuyNow Redirects'!$C$2:$J$37,8,FALSE),"")</f>
        <v/>
      </c>
      <c r="M17" s="6"/>
      <c r="N17" s="6"/>
      <c r="O17" s="6"/>
      <c r="P17" s="6"/>
      <c r="Q17" s="6"/>
      <c r="R17" s="6"/>
      <c r="S17" s="6"/>
      <c r="T17" s="6"/>
      <c r="U17" s="6"/>
      <c r="V17" s="6"/>
      <c r="W17" s="6"/>
      <c r="X17" s="6"/>
      <c r="Y17" s="6"/>
      <c r="Z17" s="6"/>
    </row>
    <row r="18" ht="21.0" customHeight="1">
      <c r="A18" s="8" t="s">
        <v>70</v>
      </c>
      <c r="B18" s="9" t="s">
        <v>71</v>
      </c>
      <c r="C18" s="10" t="str">
        <f t="shared" si="1"/>
        <v>https://jonathan-harris.online/catalogue/construction/</v>
      </c>
      <c r="D18" s="11" t="s">
        <v>72</v>
      </c>
      <c r="E18" s="11" t="s">
        <v>36</v>
      </c>
      <c r="F18" s="12"/>
      <c r="G18" s="12"/>
      <c r="H18" s="11"/>
      <c r="I18" s="11" t="str">
        <f>IFERROR(VLOOKUP($F18,'BuyNow Redirects'!$C$2:$J$37,5,FALSE),"")</f>
        <v/>
      </c>
      <c r="J18" s="13" t="str">
        <f>IFERROR(VLOOKUP($F18,'BuyNow Redirects'!$C$2:$J$37,6,FALSE),"")</f>
        <v/>
      </c>
      <c r="K18" s="14" t="str">
        <f>IFERROR(VLOOKUP($F18,'BuyNow Redirects'!$C$2:$J$37,7,FALSE),"")</f>
        <v/>
      </c>
      <c r="L18" s="12" t="str">
        <f>IFERROR(VLOOKUP($F18,'BuyNow Redirects'!$C$2:$J$37,8,FALSE),"")</f>
        <v/>
      </c>
      <c r="M18" s="6"/>
      <c r="N18" s="6"/>
      <c r="O18" s="6"/>
      <c r="P18" s="6"/>
      <c r="Q18" s="6"/>
      <c r="R18" s="6"/>
      <c r="S18" s="6"/>
      <c r="T18" s="6"/>
      <c r="U18" s="6"/>
      <c r="V18" s="6"/>
      <c r="W18" s="6"/>
      <c r="X18" s="6"/>
      <c r="Y18" s="6"/>
      <c r="Z18" s="6"/>
    </row>
    <row r="19" ht="21.0" customHeight="1">
      <c r="A19" s="15" t="s">
        <v>73</v>
      </c>
      <c r="B19" s="16" t="s">
        <v>74</v>
      </c>
      <c r="C19" s="17" t="str">
        <f t="shared" si="1"/>
        <v>https://jonathan-harris.online/catalogue/creativity/</v>
      </c>
      <c r="D19" s="18" t="s">
        <v>75</v>
      </c>
      <c r="E19" s="18" t="s">
        <v>36</v>
      </c>
      <c r="F19" s="19"/>
      <c r="G19" s="19"/>
      <c r="H19" s="18"/>
      <c r="I19" s="18" t="str">
        <f>IFERROR(VLOOKUP($F19,'BuyNow Redirects'!$C$2:$J$37,5,FALSE),"")</f>
        <v/>
      </c>
      <c r="J19" s="20" t="str">
        <f>IFERROR(VLOOKUP($F19,'BuyNow Redirects'!$C$2:$J$37,6,FALSE),"")</f>
        <v/>
      </c>
      <c r="K19" s="21" t="str">
        <f>IFERROR(VLOOKUP($F19,'BuyNow Redirects'!$C$2:$J$37,7,FALSE),"")</f>
        <v/>
      </c>
      <c r="L19" s="19" t="str">
        <f>IFERROR(VLOOKUP($F19,'BuyNow Redirects'!$C$2:$J$37,8,FALSE),"")</f>
        <v/>
      </c>
      <c r="M19" s="6"/>
      <c r="N19" s="6"/>
      <c r="O19" s="6"/>
      <c r="P19" s="6"/>
      <c r="Q19" s="6"/>
      <c r="R19" s="6"/>
      <c r="S19" s="6"/>
      <c r="T19" s="6"/>
      <c r="U19" s="6"/>
      <c r="V19" s="6"/>
      <c r="W19" s="6"/>
      <c r="X19" s="6"/>
      <c r="Y19" s="6"/>
      <c r="Z19" s="6"/>
    </row>
    <row r="20" ht="21.0" customHeight="1">
      <c r="A20" s="8" t="s">
        <v>76</v>
      </c>
      <c r="B20" s="9" t="s">
        <v>77</v>
      </c>
      <c r="C20" s="10" t="str">
        <f t="shared" si="1"/>
        <v>https://jonathan-harris.online/catalogue/cyber-security/</v>
      </c>
      <c r="D20" s="11" t="s">
        <v>78</v>
      </c>
      <c r="E20" s="11" t="s">
        <v>36</v>
      </c>
      <c r="F20" s="12"/>
      <c r="G20" s="12"/>
      <c r="H20" s="11"/>
      <c r="I20" s="11" t="str">
        <f>IFERROR(VLOOKUP($F20,'BuyNow Redirects'!$C$2:$J$37,5,FALSE),"")</f>
        <v/>
      </c>
      <c r="J20" s="13" t="str">
        <f>IFERROR(VLOOKUP($F20,'BuyNow Redirects'!$C$2:$J$37,6,FALSE),"")</f>
        <v/>
      </c>
      <c r="K20" s="14" t="str">
        <f>IFERROR(VLOOKUP($F20,'BuyNow Redirects'!$C$2:$J$37,7,FALSE),"")</f>
        <v/>
      </c>
      <c r="L20" s="12" t="str">
        <f>IFERROR(VLOOKUP($F20,'BuyNow Redirects'!$C$2:$J$37,8,FALSE),"")</f>
        <v/>
      </c>
      <c r="M20" s="6"/>
      <c r="N20" s="6"/>
      <c r="O20" s="6"/>
      <c r="P20" s="6"/>
      <c r="Q20" s="6"/>
      <c r="R20" s="6"/>
      <c r="S20" s="6"/>
      <c r="T20" s="6"/>
      <c r="U20" s="6"/>
      <c r="V20" s="6"/>
      <c r="W20" s="6"/>
      <c r="X20" s="6"/>
      <c r="Y20" s="6"/>
      <c r="Z20" s="6"/>
    </row>
    <row r="21" ht="21.0" customHeight="1">
      <c r="A21" s="15" t="s">
        <v>79</v>
      </c>
      <c r="B21" s="16" t="s">
        <v>80</v>
      </c>
      <c r="C21" s="17" t="str">
        <f t="shared" si="1"/>
        <v>https://jonathan-harris.online/catalogue/defence/</v>
      </c>
      <c r="D21" s="18" t="s">
        <v>81</v>
      </c>
      <c r="E21" s="18" t="s">
        <v>36</v>
      </c>
      <c r="F21" s="19"/>
      <c r="G21" s="19"/>
      <c r="H21" s="18"/>
      <c r="I21" s="18" t="str">
        <f>IFERROR(VLOOKUP($F21,'BuyNow Redirects'!$C$2:$J$37,5,FALSE),"")</f>
        <v/>
      </c>
      <c r="J21" s="20" t="str">
        <f>IFERROR(VLOOKUP($F21,'BuyNow Redirects'!$C$2:$J$37,6,FALSE),"")</f>
        <v/>
      </c>
      <c r="K21" s="21" t="str">
        <f>IFERROR(VLOOKUP($F21,'BuyNow Redirects'!$C$2:$J$37,7,FALSE),"")</f>
        <v/>
      </c>
      <c r="L21" s="19" t="str">
        <f>IFERROR(VLOOKUP($F21,'BuyNow Redirects'!$C$2:$J$37,8,FALSE),"")</f>
        <v/>
      </c>
      <c r="M21" s="6"/>
      <c r="N21" s="6"/>
      <c r="O21" s="6"/>
      <c r="P21" s="6"/>
      <c r="Q21" s="6"/>
      <c r="R21" s="6"/>
      <c r="S21" s="6"/>
      <c r="T21" s="6"/>
      <c r="U21" s="6"/>
      <c r="V21" s="6"/>
      <c r="W21" s="6"/>
      <c r="X21" s="6"/>
      <c r="Y21" s="6"/>
      <c r="Z21" s="6"/>
    </row>
    <row r="22" ht="21.0" customHeight="1">
      <c r="A22" s="8" t="s">
        <v>82</v>
      </c>
      <c r="B22" s="9" t="s">
        <v>83</v>
      </c>
      <c r="C22" s="10" t="str">
        <f t="shared" si="1"/>
        <v>https://jonathan-harris.online/catalogue/education/</v>
      </c>
      <c r="D22" s="11" t="s">
        <v>84</v>
      </c>
      <c r="E22" s="11" t="s">
        <v>36</v>
      </c>
      <c r="F22" s="12"/>
      <c r="G22" s="12"/>
      <c r="H22" s="11"/>
      <c r="I22" s="11" t="str">
        <f>IFERROR(VLOOKUP($F22,'BuyNow Redirects'!$C$2:$J$37,5,FALSE),"")</f>
        <v/>
      </c>
      <c r="J22" s="13" t="str">
        <f>IFERROR(VLOOKUP($F22,'BuyNow Redirects'!$C$2:$J$37,6,FALSE),"")</f>
        <v/>
      </c>
      <c r="K22" s="14" t="str">
        <f>IFERROR(VLOOKUP($F22,'BuyNow Redirects'!$C$2:$J$37,7,FALSE),"")</f>
        <v/>
      </c>
      <c r="L22" s="12" t="str">
        <f>IFERROR(VLOOKUP($F22,'BuyNow Redirects'!$C$2:$J$37,8,FALSE),"")</f>
        <v/>
      </c>
      <c r="M22" s="6"/>
      <c r="N22" s="6"/>
      <c r="O22" s="6"/>
      <c r="P22" s="6"/>
      <c r="Q22" s="6"/>
      <c r="R22" s="6"/>
      <c r="S22" s="6"/>
      <c r="T22" s="6"/>
      <c r="U22" s="6"/>
      <c r="V22" s="6"/>
      <c r="W22" s="6"/>
      <c r="X22" s="6"/>
      <c r="Y22" s="6"/>
      <c r="Z22" s="6"/>
    </row>
    <row r="23" ht="21.0" customHeight="1">
      <c r="A23" s="15" t="s">
        <v>85</v>
      </c>
      <c r="B23" s="16" t="s">
        <v>86</v>
      </c>
      <c r="C23" s="17" t="str">
        <f t="shared" si="1"/>
        <v>https://jonathan-harris.online/catalogue/energy/</v>
      </c>
      <c r="D23" s="18" t="s">
        <v>87</v>
      </c>
      <c r="E23" s="18" t="s">
        <v>36</v>
      </c>
      <c r="F23" s="19"/>
      <c r="G23" s="19"/>
      <c r="H23" s="18"/>
      <c r="I23" s="18" t="str">
        <f>IFERROR(VLOOKUP($F23,'BuyNow Redirects'!$C$2:$J$37,5,FALSE),"")</f>
        <v/>
      </c>
      <c r="J23" s="20" t="str">
        <f>IFERROR(VLOOKUP($F23,'BuyNow Redirects'!$C$2:$J$37,6,FALSE),"")</f>
        <v/>
      </c>
      <c r="K23" s="21" t="str">
        <f>IFERROR(VLOOKUP($F23,'BuyNow Redirects'!$C$2:$J$37,7,FALSE),"")</f>
        <v/>
      </c>
      <c r="L23" s="19" t="str">
        <f>IFERROR(VLOOKUP($F23,'BuyNow Redirects'!$C$2:$J$37,8,FALSE),"")</f>
        <v/>
      </c>
      <c r="M23" s="6"/>
      <c r="N23" s="6"/>
      <c r="O23" s="6"/>
      <c r="P23" s="6"/>
      <c r="Q23" s="6"/>
      <c r="R23" s="6"/>
      <c r="S23" s="6"/>
      <c r="T23" s="6"/>
      <c r="U23" s="6"/>
      <c r="V23" s="6"/>
      <c r="W23" s="6"/>
      <c r="X23" s="6"/>
      <c r="Y23" s="6"/>
      <c r="Z23" s="6"/>
    </row>
    <row r="24" ht="21.0" customHeight="1">
      <c r="A24" s="8" t="s">
        <v>88</v>
      </c>
      <c r="B24" s="9" t="s">
        <v>89</v>
      </c>
      <c r="C24" s="10" t="str">
        <f t="shared" si="1"/>
        <v>https://jonathan-harris.online/catalogue/environment/</v>
      </c>
      <c r="D24" s="11" t="s">
        <v>90</v>
      </c>
      <c r="E24" s="11" t="s">
        <v>36</v>
      </c>
      <c r="F24" s="12"/>
      <c r="G24" s="12"/>
      <c r="H24" s="11"/>
      <c r="I24" s="11" t="str">
        <f>IFERROR(VLOOKUP($F24,'BuyNow Redirects'!$C$2:$J$37,5,FALSE),"")</f>
        <v/>
      </c>
      <c r="J24" s="13" t="str">
        <f>IFERROR(VLOOKUP($F24,'BuyNow Redirects'!$C$2:$J$37,6,FALSE),"")</f>
        <v/>
      </c>
      <c r="K24" s="14" t="str">
        <f>IFERROR(VLOOKUP($F24,'BuyNow Redirects'!$C$2:$J$37,7,FALSE),"")</f>
        <v/>
      </c>
      <c r="L24" s="12" t="str">
        <f>IFERROR(VLOOKUP($F24,'BuyNow Redirects'!$C$2:$J$37,8,FALSE),"")</f>
        <v/>
      </c>
      <c r="M24" s="6"/>
      <c r="N24" s="6"/>
      <c r="O24" s="6"/>
      <c r="P24" s="6"/>
      <c r="Q24" s="6"/>
      <c r="R24" s="6"/>
      <c r="S24" s="6"/>
      <c r="T24" s="6"/>
      <c r="U24" s="6"/>
      <c r="V24" s="6"/>
      <c r="W24" s="6"/>
      <c r="X24" s="6"/>
      <c r="Y24" s="6"/>
      <c r="Z24" s="6"/>
    </row>
    <row r="25" ht="21.0" customHeight="1">
      <c r="A25" s="15" t="s">
        <v>91</v>
      </c>
      <c r="B25" s="16" t="s">
        <v>92</v>
      </c>
      <c r="C25" s="17" t="str">
        <f t="shared" si="1"/>
        <v>https://jonathan-harris.online/catalogue/ethics/</v>
      </c>
      <c r="D25" s="18" t="s">
        <v>93</v>
      </c>
      <c r="E25" s="18" t="s">
        <v>36</v>
      </c>
      <c r="F25" s="19"/>
      <c r="G25" s="19"/>
      <c r="H25" s="18"/>
      <c r="I25" s="18" t="str">
        <f>IFERROR(VLOOKUP($F25,'BuyNow Redirects'!$C$2:$J$37,5,FALSE),"")</f>
        <v/>
      </c>
      <c r="J25" s="20" t="str">
        <f>IFERROR(VLOOKUP($F25,'BuyNow Redirects'!$C$2:$J$37,6,FALSE),"")</f>
        <v/>
      </c>
      <c r="K25" s="21" t="str">
        <f>IFERROR(VLOOKUP($F25,'BuyNow Redirects'!$C$2:$J$37,7,FALSE),"")</f>
        <v/>
      </c>
      <c r="L25" s="19" t="str">
        <f>IFERROR(VLOOKUP($F25,'BuyNow Redirects'!$C$2:$J$37,8,FALSE),"")</f>
        <v/>
      </c>
      <c r="M25" s="6"/>
      <c r="N25" s="6"/>
      <c r="O25" s="6"/>
      <c r="P25" s="6"/>
      <c r="Q25" s="6"/>
      <c r="R25" s="6"/>
      <c r="S25" s="6"/>
      <c r="T25" s="6"/>
      <c r="U25" s="6"/>
      <c r="V25" s="6"/>
      <c r="W25" s="6"/>
      <c r="X25" s="6"/>
      <c r="Y25" s="6"/>
      <c r="Z25" s="6"/>
    </row>
    <row r="26" ht="21.0" customHeight="1">
      <c r="A26" s="8" t="s">
        <v>94</v>
      </c>
      <c r="B26" s="9" t="s">
        <v>95</v>
      </c>
      <c r="C26" s="10" t="str">
        <f t="shared" si="1"/>
        <v>https://jonathan-harris.online/catalogue/finance/</v>
      </c>
      <c r="D26" s="11" t="s">
        <v>96</v>
      </c>
      <c r="E26" s="11" t="s">
        <v>36</v>
      </c>
      <c r="F26" s="12"/>
      <c r="G26" s="12"/>
      <c r="H26" s="11"/>
      <c r="I26" s="11" t="str">
        <f>IFERROR(VLOOKUP($F26,'BuyNow Redirects'!$C$2:$J$37,5,FALSE),"")</f>
        <v/>
      </c>
      <c r="J26" s="13" t="str">
        <f>IFERROR(VLOOKUP($F26,'BuyNow Redirects'!$C$2:$J$37,6,FALSE),"")</f>
        <v/>
      </c>
      <c r="K26" s="14" t="str">
        <f>IFERROR(VLOOKUP($F26,'BuyNow Redirects'!$C$2:$J$37,7,FALSE),"")</f>
        <v/>
      </c>
      <c r="L26" s="12" t="str">
        <f>IFERROR(VLOOKUP($F26,'BuyNow Redirects'!$C$2:$J$37,8,FALSE),"")</f>
        <v/>
      </c>
      <c r="M26" s="6"/>
      <c r="N26" s="6"/>
      <c r="O26" s="6"/>
      <c r="P26" s="6"/>
      <c r="Q26" s="6"/>
      <c r="R26" s="6"/>
      <c r="S26" s="6"/>
      <c r="T26" s="6"/>
      <c r="U26" s="6"/>
      <c r="V26" s="6"/>
      <c r="W26" s="6"/>
      <c r="X26" s="6"/>
      <c r="Y26" s="6"/>
      <c r="Z26" s="6"/>
    </row>
    <row r="27" ht="21.0" customHeight="1">
      <c r="A27" s="15" t="s">
        <v>97</v>
      </c>
      <c r="B27" s="16" t="s">
        <v>98</v>
      </c>
      <c r="C27" s="17" t="str">
        <f t="shared" si="1"/>
        <v>https://jonathan-harris.online/catalogue/future-of-work/</v>
      </c>
      <c r="D27" s="18" t="s">
        <v>99</v>
      </c>
      <c r="E27" s="18" t="s">
        <v>36</v>
      </c>
      <c r="F27" s="19"/>
      <c r="G27" s="19"/>
      <c r="H27" s="18"/>
      <c r="I27" s="18" t="str">
        <f>IFERROR(VLOOKUP($F27,'BuyNow Redirects'!$C$2:$J$37,5,FALSE),"")</f>
        <v/>
      </c>
      <c r="J27" s="20" t="str">
        <f>IFERROR(VLOOKUP($F27,'BuyNow Redirects'!$C$2:$J$37,6,FALSE),"")</f>
        <v/>
      </c>
      <c r="K27" s="21" t="str">
        <f>IFERROR(VLOOKUP($F27,'BuyNow Redirects'!$C$2:$J$37,7,FALSE),"")</f>
        <v/>
      </c>
      <c r="L27" s="19" t="str">
        <f>IFERROR(VLOOKUP($F27,'BuyNow Redirects'!$C$2:$J$37,8,FALSE),"")</f>
        <v/>
      </c>
      <c r="M27" s="6"/>
      <c r="N27" s="6"/>
      <c r="O27" s="6"/>
      <c r="P27" s="6"/>
      <c r="Q27" s="6"/>
      <c r="R27" s="6"/>
      <c r="S27" s="6"/>
      <c r="T27" s="6"/>
      <c r="U27" s="6"/>
      <c r="V27" s="6"/>
      <c r="W27" s="6"/>
      <c r="X27" s="6"/>
      <c r="Y27" s="6"/>
      <c r="Z27" s="6"/>
    </row>
    <row r="28" ht="21.0" customHeight="1">
      <c r="A28" s="8" t="s">
        <v>100</v>
      </c>
      <c r="B28" s="9" t="s">
        <v>101</v>
      </c>
      <c r="C28" s="10" t="str">
        <f t="shared" si="1"/>
        <v>https://jonathan-harris.online/catalogue/gaming/</v>
      </c>
      <c r="D28" s="11" t="s">
        <v>102</v>
      </c>
      <c r="E28" s="11" t="s">
        <v>36</v>
      </c>
      <c r="F28" s="12"/>
      <c r="G28" s="12"/>
      <c r="H28" s="11"/>
      <c r="I28" s="11" t="str">
        <f>IFERROR(VLOOKUP($F28,'BuyNow Redirects'!$C$2:$J$37,5,FALSE),"")</f>
        <v/>
      </c>
      <c r="J28" s="13" t="str">
        <f>IFERROR(VLOOKUP($F28,'BuyNow Redirects'!$C$2:$J$37,6,FALSE),"")</f>
        <v/>
      </c>
      <c r="K28" s="14" t="str">
        <f>IFERROR(VLOOKUP($F28,'BuyNow Redirects'!$C$2:$J$37,7,FALSE),"")</f>
        <v/>
      </c>
      <c r="L28" s="12" t="str">
        <f>IFERROR(VLOOKUP($F28,'BuyNow Redirects'!$C$2:$J$37,8,FALSE),"")</f>
        <v/>
      </c>
      <c r="M28" s="6"/>
      <c r="N28" s="6"/>
      <c r="O28" s="6"/>
      <c r="P28" s="6"/>
      <c r="Q28" s="6"/>
      <c r="R28" s="6"/>
      <c r="S28" s="6"/>
      <c r="T28" s="6"/>
      <c r="U28" s="6"/>
      <c r="V28" s="6"/>
      <c r="W28" s="6"/>
      <c r="X28" s="6"/>
      <c r="Y28" s="6"/>
      <c r="Z28" s="6"/>
    </row>
    <row r="29" ht="21.0" customHeight="1">
      <c r="A29" s="15" t="s">
        <v>103</v>
      </c>
      <c r="B29" s="16" t="s">
        <v>104</v>
      </c>
      <c r="C29" s="17" t="str">
        <f t="shared" si="1"/>
        <v>https://jonathan-harris.online/catalogue/government/</v>
      </c>
      <c r="D29" s="18" t="s">
        <v>105</v>
      </c>
      <c r="E29" s="18" t="s">
        <v>36</v>
      </c>
      <c r="F29" s="19"/>
      <c r="G29" s="19"/>
      <c r="H29" s="18"/>
      <c r="I29" s="18" t="str">
        <f>IFERROR(VLOOKUP($F29,'BuyNow Redirects'!$C$2:$J$37,5,FALSE),"")</f>
        <v/>
      </c>
      <c r="J29" s="20" t="str">
        <f>IFERROR(VLOOKUP($F29,'BuyNow Redirects'!$C$2:$J$37,6,FALSE),"")</f>
        <v/>
      </c>
      <c r="K29" s="21" t="str">
        <f>IFERROR(VLOOKUP($F29,'BuyNow Redirects'!$C$2:$J$37,7,FALSE),"")</f>
        <v/>
      </c>
      <c r="L29" s="19" t="str">
        <f>IFERROR(VLOOKUP($F29,'BuyNow Redirects'!$C$2:$J$37,8,FALSE),"")</f>
        <v/>
      </c>
      <c r="M29" s="6"/>
      <c r="N29" s="6"/>
      <c r="O29" s="6"/>
      <c r="P29" s="6"/>
      <c r="Q29" s="6"/>
      <c r="R29" s="6"/>
      <c r="S29" s="6"/>
      <c r="T29" s="6"/>
      <c r="U29" s="6"/>
      <c r="V29" s="6"/>
      <c r="W29" s="6"/>
      <c r="X29" s="6"/>
      <c r="Y29" s="6"/>
      <c r="Z29" s="6"/>
    </row>
    <row r="30" ht="21.0" customHeight="1">
      <c r="A30" s="8" t="s">
        <v>106</v>
      </c>
      <c r="B30" s="9" t="s">
        <v>107</v>
      </c>
      <c r="C30" s="10" t="str">
        <f t="shared" si="1"/>
        <v>https://jonathan-harris.online/catalogue/healthcare/</v>
      </c>
      <c r="D30" s="11" t="s">
        <v>108</v>
      </c>
      <c r="E30" s="11" t="s">
        <v>36</v>
      </c>
      <c r="F30" s="12"/>
      <c r="G30" s="12"/>
      <c r="H30" s="11"/>
      <c r="I30" s="11" t="str">
        <f>IFERROR(VLOOKUP($F30,'BuyNow Redirects'!$C$2:$J$37,5,FALSE),"")</f>
        <v/>
      </c>
      <c r="J30" s="13" t="str">
        <f>IFERROR(VLOOKUP($F30,'BuyNow Redirects'!$C$2:$J$37,6,FALSE),"")</f>
        <v/>
      </c>
      <c r="K30" s="14" t="str">
        <f>IFERROR(VLOOKUP($F30,'BuyNow Redirects'!$C$2:$J$37,7,FALSE),"")</f>
        <v/>
      </c>
      <c r="L30" s="12" t="str">
        <f>IFERROR(VLOOKUP($F30,'BuyNow Redirects'!$C$2:$J$37,8,FALSE),"")</f>
        <v/>
      </c>
      <c r="M30" s="6"/>
      <c r="N30" s="6"/>
      <c r="O30" s="6"/>
      <c r="P30" s="6"/>
      <c r="Q30" s="6"/>
      <c r="R30" s="6"/>
      <c r="S30" s="6"/>
      <c r="T30" s="6"/>
      <c r="U30" s="6"/>
      <c r="V30" s="6"/>
      <c r="W30" s="6"/>
      <c r="X30" s="6"/>
      <c r="Y30" s="6"/>
      <c r="Z30" s="6"/>
    </row>
    <row r="31" ht="21.0" customHeight="1">
      <c r="A31" s="15" t="s">
        <v>109</v>
      </c>
      <c r="B31" s="16" t="s">
        <v>110</v>
      </c>
      <c r="C31" s="17" t="str">
        <f t="shared" si="1"/>
        <v>https://jonathan-harris.online/catalogue/history/</v>
      </c>
      <c r="D31" s="18" t="s">
        <v>111</v>
      </c>
      <c r="E31" s="18" t="s">
        <v>36</v>
      </c>
      <c r="F31" s="19"/>
      <c r="G31" s="19"/>
      <c r="H31" s="18"/>
      <c r="I31" s="18" t="str">
        <f>IFERROR(VLOOKUP($F31,'BuyNow Redirects'!$C$2:$J$37,5,FALSE),"")</f>
        <v/>
      </c>
      <c r="J31" s="20" t="str">
        <f>IFERROR(VLOOKUP($F31,'BuyNow Redirects'!$C$2:$J$37,6,FALSE),"")</f>
        <v/>
      </c>
      <c r="K31" s="21" t="str">
        <f>IFERROR(VLOOKUP($F31,'BuyNow Redirects'!$C$2:$J$37,7,FALSE),"")</f>
        <v/>
      </c>
      <c r="L31" s="19" t="str">
        <f>IFERROR(VLOOKUP($F31,'BuyNow Redirects'!$C$2:$J$37,8,FALSE),"")</f>
        <v/>
      </c>
      <c r="M31" s="6"/>
      <c r="N31" s="6"/>
      <c r="O31" s="6"/>
      <c r="P31" s="6"/>
      <c r="Q31" s="6"/>
      <c r="R31" s="6"/>
      <c r="S31" s="6"/>
      <c r="T31" s="6"/>
      <c r="U31" s="6"/>
      <c r="V31" s="6"/>
      <c r="W31" s="6"/>
      <c r="X31" s="6"/>
      <c r="Y31" s="6"/>
      <c r="Z31" s="6"/>
    </row>
    <row r="32" ht="21.0" customHeight="1">
      <c r="A32" s="8" t="s">
        <v>112</v>
      </c>
      <c r="B32" s="9" t="s">
        <v>113</v>
      </c>
      <c r="C32" s="10" t="str">
        <f t="shared" si="1"/>
        <v>https://jonathan-harris.online/catalogue/industry/</v>
      </c>
      <c r="D32" s="11" t="s">
        <v>114</v>
      </c>
      <c r="E32" s="11" t="s">
        <v>36</v>
      </c>
      <c r="F32" s="12"/>
      <c r="G32" s="12"/>
      <c r="H32" s="11"/>
      <c r="I32" s="11" t="str">
        <f>IFERROR(VLOOKUP($F32,'BuyNow Redirects'!$C$2:$J$37,5,FALSE),"")</f>
        <v/>
      </c>
      <c r="J32" s="13" t="str">
        <f>IFERROR(VLOOKUP($F32,'BuyNow Redirects'!$C$2:$J$37,6,FALSE),"")</f>
        <v/>
      </c>
      <c r="K32" s="14" t="str">
        <f>IFERROR(VLOOKUP($F32,'BuyNow Redirects'!$C$2:$J$37,7,FALSE),"")</f>
        <v/>
      </c>
      <c r="L32" s="12" t="str">
        <f>IFERROR(VLOOKUP($F32,'BuyNow Redirects'!$C$2:$J$37,8,FALSE),"")</f>
        <v/>
      </c>
      <c r="M32" s="6"/>
      <c r="N32" s="6"/>
      <c r="O32" s="6"/>
      <c r="P32" s="6"/>
      <c r="Q32" s="6"/>
      <c r="R32" s="6"/>
      <c r="S32" s="6"/>
      <c r="T32" s="6"/>
      <c r="U32" s="6"/>
      <c r="V32" s="6"/>
      <c r="W32" s="6"/>
      <c r="X32" s="6"/>
      <c r="Y32" s="6"/>
      <c r="Z32" s="6"/>
    </row>
    <row r="33" ht="21.0" customHeight="1">
      <c r="A33" s="15" t="s">
        <v>115</v>
      </c>
      <c r="B33" s="16" t="s">
        <v>116</v>
      </c>
      <c r="C33" s="17" t="str">
        <f t="shared" si="1"/>
        <v>https://jonathan-harris.online/catalogue/law/</v>
      </c>
      <c r="D33" s="18" t="s">
        <v>117</v>
      </c>
      <c r="E33" s="18" t="s">
        <v>36</v>
      </c>
      <c r="F33" s="19"/>
      <c r="G33" s="19"/>
      <c r="H33" s="18"/>
      <c r="I33" s="18" t="str">
        <f>IFERROR(VLOOKUP($F33,'BuyNow Redirects'!$C$2:$J$37,5,FALSE),"")</f>
        <v/>
      </c>
      <c r="J33" s="20" t="str">
        <f>IFERROR(VLOOKUP($F33,'BuyNow Redirects'!$C$2:$J$37,6,FALSE),"")</f>
        <v/>
      </c>
      <c r="K33" s="21" t="str">
        <f>IFERROR(VLOOKUP($F33,'BuyNow Redirects'!$C$2:$J$37,7,FALSE),"")</f>
        <v/>
      </c>
      <c r="L33" s="19" t="str">
        <f>IFERROR(VLOOKUP($F33,'BuyNow Redirects'!$C$2:$J$37,8,FALSE),"")</f>
        <v/>
      </c>
      <c r="M33" s="6"/>
      <c r="N33" s="6"/>
      <c r="O33" s="6"/>
      <c r="P33" s="6"/>
      <c r="Q33" s="6"/>
      <c r="R33" s="6"/>
      <c r="S33" s="6"/>
      <c r="T33" s="6"/>
      <c r="U33" s="6"/>
      <c r="V33" s="6"/>
      <c r="W33" s="6"/>
      <c r="X33" s="6"/>
      <c r="Y33" s="6"/>
      <c r="Z33" s="6"/>
    </row>
    <row r="34" ht="21.0" customHeight="1">
      <c r="A34" s="8" t="s">
        <v>118</v>
      </c>
      <c r="B34" s="9" t="s">
        <v>119</v>
      </c>
      <c r="C34" s="10" t="str">
        <f t="shared" si="1"/>
        <v>https://jonathan-harris.online/catalogue/manufacturing/</v>
      </c>
      <c r="D34" s="11" t="s">
        <v>120</v>
      </c>
      <c r="E34" s="11" t="s">
        <v>36</v>
      </c>
      <c r="F34" s="12"/>
      <c r="G34" s="12"/>
      <c r="H34" s="11"/>
      <c r="I34" s="11" t="str">
        <f>IFERROR(VLOOKUP($F34,'BuyNow Redirects'!$C$2:$J$37,5,FALSE),"")</f>
        <v/>
      </c>
      <c r="J34" s="13" t="str">
        <f>IFERROR(VLOOKUP($F34,'BuyNow Redirects'!$C$2:$J$37,6,FALSE),"")</f>
        <v/>
      </c>
      <c r="K34" s="14" t="str">
        <f>IFERROR(VLOOKUP($F34,'BuyNow Redirects'!$C$2:$J$37,7,FALSE),"")</f>
        <v/>
      </c>
      <c r="L34" s="12" t="str">
        <f>IFERROR(VLOOKUP($F34,'BuyNow Redirects'!$C$2:$J$37,8,FALSE),"")</f>
        <v/>
      </c>
      <c r="M34" s="6"/>
      <c r="N34" s="6"/>
      <c r="O34" s="6"/>
      <c r="P34" s="6"/>
      <c r="Q34" s="6"/>
      <c r="R34" s="6"/>
      <c r="S34" s="6"/>
      <c r="T34" s="6"/>
      <c r="U34" s="6"/>
      <c r="V34" s="6"/>
      <c r="W34" s="6"/>
      <c r="X34" s="6"/>
      <c r="Y34" s="6"/>
      <c r="Z34" s="6"/>
    </row>
    <row r="35" ht="21.0" customHeight="1">
      <c r="A35" s="15" t="s">
        <v>121</v>
      </c>
      <c r="B35" s="16" t="s">
        <v>122</v>
      </c>
      <c r="C35" s="17" t="str">
        <f t="shared" si="1"/>
        <v>https://jonathan-harris.online/catalogue/media/</v>
      </c>
      <c r="D35" s="18" t="s">
        <v>123</v>
      </c>
      <c r="E35" s="18" t="s">
        <v>36</v>
      </c>
      <c r="F35" s="19"/>
      <c r="G35" s="19"/>
      <c r="H35" s="18"/>
      <c r="I35" s="18" t="str">
        <f>IFERROR(VLOOKUP($F35,'BuyNow Redirects'!$C$2:$J$37,5,FALSE),"")</f>
        <v/>
      </c>
      <c r="J35" s="20" t="str">
        <f>IFERROR(VLOOKUP($F35,'BuyNow Redirects'!$C$2:$J$37,6,FALSE),"")</f>
        <v/>
      </c>
      <c r="K35" s="21" t="str">
        <f>IFERROR(VLOOKUP($F35,'BuyNow Redirects'!$C$2:$J$37,7,FALSE),"")</f>
        <v/>
      </c>
      <c r="L35" s="19" t="str">
        <f>IFERROR(VLOOKUP($F35,'BuyNow Redirects'!$C$2:$J$37,8,FALSE),"")</f>
        <v/>
      </c>
      <c r="M35" s="6"/>
      <c r="N35" s="6"/>
      <c r="O35" s="6"/>
      <c r="P35" s="6"/>
      <c r="Q35" s="6"/>
      <c r="R35" s="6"/>
      <c r="S35" s="6"/>
      <c r="T35" s="6"/>
      <c r="U35" s="6"/>
      <c r="V35" s="6"/>
      <c r="W35" s="6"/>
      <c r="X35" s="6"/>
      <c r="Y35" s="6"/>
      <c r="Z35" s="6"/>
    </row>
    <row r="36" ht="21.0" customHeight="1">
      <c r="A36" s="8" t="s">
        <v>124</v>
      </c>
      <c r="B36" s="9" t="s">
        <v>125</v>
      </c>
      <c r="C36" s="10" t="str">
        <f t="shared" si="1"/>
        <v>https://jonathan-harris.online/catalogue/retail/</v>
      </c>
      <c r="D36" s="11" t="s">
        <v>126</v>
      </c>
      <c r="E36" s="11" t="s">
        <v>36</v>
      </c>
      <c r="F36" s="12"/>
      <c r="G36" s="12"/>
      <c r="H36" s="11"/>
      <c r="I36" s="11" t="str">
        <f>IFERROR(VLOOKUP($F36,'BuyNow Redirects'!$C$2:$J$37,5,FALSE),"")</f>
        <v/>
      </c>
      <c r="J36" s="13" t="str">
        <f>IFERROR(VLOOKUP($F36,'BuyNow Redirects'!$C$2:$J$37,6,FALSE),"")</f>
        <v/>
      </c>
      <c r="K36" s="14" t="str">
        <f>IFERROR(VLOOKUP($F36,'BuyNow Redirects'!$C$2:$J$37,7,FALSE),"")</f>
        <v/>
      </c>
      <c r="L36" s="12" t="str">
        <f>IFERROR(VLOOKUP($F36,'BuyNow Redirects'!$C$2:$J$37,8,FALSE),"")</f>
        <v/>
      </c>
      <c r="M36" s="6"/>
      <c r="N36" s="6"/>
      <c r="O36" s="6"/>
      <c r="P36" s="6"/>
      <c r="Q36" s="6"/>
      <c r="R36" s="6"/>
      <c r="S36" s="6"/>
      <c r="T36" s="6"/>
      <c r="U36" s="6"/>
      <c r="V36" s="6"/>
      <c r="W36" s="6"/>
      <c r="X36" s="6"/>
      <c r="Y36" s="6"/>
      <c r="Z36" s="6"/>
    </row>
    <row r="37" ht="21.0" customHeight="1">
      <c r="A37" s="15" t="s">
        <v>127</v>
      </c>
      <c r="B37" s="16" t="s">
        <v>128</v>
      </c>
      <c r="C37" s="17" t="str">
        <f t="shared" si="1"/>
        <v>https://jonathan-harris.online/catalogue/science/</v>
      </c>
      <c r="D37" s="18" t="s">
        <v>129</v>
      </c>
      <c r="E37" s="18" t="s">
        <v>36</v>
      </c>
      <c r="F37" s="19"/>
      <c r="G37" s="19"/>
      <c r="H37" s="18"/>
      <c r="I37" s="18" t="str">
        <f>IFERROR(VLOOKUP($F37,'BuyNow Redirects'!$C$2:$J$37,5,FALSE),"")</f>
        <v/>
      </c>
      <c r="J37" s="20" t="str">
        <f>IFERROR(VLOOKUP($F37,'BuyNow Redirects'!$C$2:$J$37,6,FALSE),"")</f>
        <v/>
      </c>
      <c r="K37" s="21" t="str">
        <f>IFERROR(VLOOKUP($F37,'BuyNow Redirects'!$C$2:$J$37,7,FALSE),"")</f>
        <v/>
      </c>
      <c r="L37" s="19" t="str">
        <f>IFERROR(VLOOKUP($F37,'BuyNow Redirects'!$C$2:$J$37,8,FALSE),"")</f>
        <v/>
      </c>
      <c r="M37" s="6"/>
      <c r="N37" s="6"/>
      <c r="O37" s="6"/>
      <c r="P37" s="6"/>
      <c r="Q37" s="6"/>
      <c r="R37" s="6"/>
      <c r="S37" s="6"/>
      <c r="T37" s="6"/>
      <c r="U37" s="6"/>
      <c r="V37" s="6"/>
      <c r="W37" s="6"/>
      <c r="X37" s="6"/>
      <c r="Y37" s="6"/>
      <c r="Z37" s="6"/>
    </row>
    <row r="38" ht="21.0" customHeight="1">
      <c r="A38" s="8" t="s">
        <v>130</v>
      </c>
      <c r="B38" s="9" t="s">
        <v>131</v>
      </c>
      <c r="C38" s="10" t="str">
        <f t="shared" si="1"/>
        <v>https://jonathan-harris.online/catalogue/sports/</v>
      </c>
      <c r="D38" s="11" t="s">
        <v>132</v>
      </c>
      <c r="E38" s="11" t="s">
        <v>36</v>
      </c>
      <c r="F38" s="12"/>
      <c r="G38" s="12"/>
      <c r="H38" s="11"/>
      <c r="I38" s="11" t="str">
        <f>IFERROR(VLOOKUP($F38,'BuyNow Redirects'!$C$2:$J$37,5,FALSE),"")</f>
        <v/>
      </c>
      <c r="J38" s="13" t="str">
        <f>IFERROR(VLOOKUP($F38,'BuyNow Redirects'!$C$2:$J$37,6,FALSE),"")</f>
        <v/>
      </c>
      <c r="K38" s="14" t="str">
        <f>IFERROR(VLOOKUP($F38,'BuyNow Redirects'!$C$2:$J$37,7,FALSE),"")</f>
        <v/>
      </c>
      <c r="L38" s="12" t="str">
        <f>IFERROR(VLOOKUP($F38,'BuyNow Redirects'!$C$2:$J$37,8,FALSE),"")</f>
        <v/>
      </c>
      <c r="M38" s="6"/>
      <c r="N38" s="6"/>
      <c r="O38" s="6"/>
      <c r="P38" s="6"/>
      <c r="Q38" s="6"/>
      <c r="R38" s="6"/>
      <c r="S38" s="6"/>
      <c r="T38" s="6"/>
      <c r="U38" s="6"/>
      <c r="V38" s="6"/>
      <c r="W38" s="6"/>
      <c r="X38" s="6"/>
      <c r="Y38" s="6"/>
      <c r="Z38" s="6"/>
    </row>
    <row r="39" ht="21.0" customHeight="1">
      <c r="A39" s="15" t="s">
        <v>133</v>
      </c>
      <c r="B39" s="16" t="s">
        <v>134</v>
      </c>
      <c r="C39" s="17" t="str">
        <f t="shared" si="1"/>
        <v>https://jonathan-harris.online/catalogue/transportation/</v>
      </c>
      <c r="D39" s="18" t="s">
        <v>135</v>
      </c>
      <c r="E39" s="18" t="s">
        <v>36</v>
      </c>
      <c r="F39" s="19"/>
      <c r="G39" s="19"/>
      <c r="H39" s="18"/>
      <c r="I39" s="18" t="str">
        <f>IFERROR(VLOOKUP($F39,'BuyNow Redirects'!$C$2:$J$37,5,FALSE),"")</f>
        <v/>
      </c>
      <c r="J39" s="20" t="str">
        <f>IFERROR(VLOOKUP($F39,'BuyNow Redirects'!$C$2:$J$37,6,FALSE),"")</f>
        <v/>
      </c>
      <c r="K39" s="21" t="str">
        <f>IFERROR(VLOOKUP($F39,'BuyNow Redirects'!$C$2:$J$37,7,FALSE),"")</f>
        <v/>
      </c>
      <c r="L39" s="19" t="str">
        <f>IFERROR(VLOOKUP($F39,'BuyNow Redirects'!$C$2:$J$37,8,FALSE),"")</f>
        <v/>
      </c>
      <c r="M39" s="6"/>
      <c r="N39" s="6"/>
      <c r="O39" s="6"/>
      <c r="P39" s="6"/>
      <c r="Q39" s="6"/>
      <c r="R39" s="6"/>
      <c r="S39" s="6"/>
      <c r="T39" s="6"/>
      <c r="U39" s="6"/>
      <c r="V39" s="6"/>
      <c r="W39" s="6"/>
      <c r="X39" s="6"/>
      <c r="Y39" s="6"/>
      <c r="Z39" s="6"/>
    </row>
    <row r="40" ht="21.0" customHeight="1">
      <c r="A40" s="8" t="s">
        <v>136</v>
      </c>
      <c r="B40" s="9" t="s">
        <v>137</v>
      </c>
      <c r="C40" s="10" t="str">
        <f t="shared" si="1"/>
        <v>https://jonathan-harris.online/compare/</v>
      </c>
      <c r="D40" s="11" t="s">
        <v>138</v>
      </c>
      <c r="E40" s="11" t="s">
        <v>36</v>
      </c>
      <c r="F40" s="12"/>
      <c r="G40" s="12"/>
      <c r="H40" s="11"/>
      <c r="I40" s="11" t="str">
        <f>IFERROR(VLOOKUP($F40,'BuyNow Redirects'!$C$2:$J$37,5,FALSE),"")</f>
        <v/>
      </c>
      <c r="J40" s="13" t="str">
        <f>IFERROR(VLOOKUP($F40,'BuyNow Redirects'!$C$2:$J$37,6,FALSE),"")</f>
        <v/>
      </c>
      <c r="K40" s="14" t="str">
        <f>IFERROR(VLOOKUP($F40,'BuyNow Redirects'!$C$2:$J$37,7,FALSE),"")</f>
        <v/>
      </c>
      <c r="L40" s="12" t="str">
        <f>IFERROR(VLOOKUP($F40,'BuyNow Redirects'!$C$2:$J$37,8,FALSE),"")</f>
        <v/>
      </c>
      <c r="M40" s="6"/>
      <c r="N40" s="6"/>
      <c r="O40" s="6"/>
      <c r="P40" s="6"/>
      <c r="Q40" s="6"/>
      <c r="R40" s="6"/>
      <c r="S40" s="6"/>
      <c r="T40" s="6"/>
      <c r="U40" s="6"/>
      <c r="V40" s="6"/>
      <c r="W40" s="6"/>
      <c r="X40" s="6"/>
      <c r="Y40" s="6"/>
      <c r="Z40" s="6"/>
    </row>
    <row r="41" ht="21.0" customHeight="1">
      <c r="A41" s="15" t="s">
        <v>139</v>
      </c>
      <c r="B41" s="16" t="s">
        <v>140</v>
      </c>
      <c r="C41" s="17" t="str">
        <f t="shared" si="1"/>
        <v>https://jonathan-harris.online/contact/</v>
      </c>
      <c r="D41" s="18" t="s">
        <v>141</v>
      </c>
      <c r="E41" s="18" t="s">
        <v>36</v>
      </c>
      <c r="F41" s="19"/>
      <c r="G41" s="19"/>
      <c r="H41" s="18"/>
      <c r="I41" s="18" t="str">
        <f>IFERROR(VLOOKUP($F41,'BuyNow Redirects'!$C$2:$J$37,5,FALSE),"")</f>
        <v/>
      </c>
      <c r="J41" s="20" t="str">
        <f>IFERROR(VLOOKUP($F41,'BuyNow Redirects'!$C$2:$J$37,6,FALSE),"")</f>
        <v/>
      </c>
      <c r="K41" s="21" t="str">
        <f>IFERROR(VLOOKUP($F41,'BuyNow Redirects'!$C$2:$J$37,7,FALSE),"")</f>
        <v/>
      </c>
      <c r="L41" s="19" t="str">
        <f>IFERROR(VLOOKUP($F41,'BuyNow Redirects'!$C$2:$J$37,8,FALSE),"")</f>
        <v/>
      </c>
      <c r="M41" s="6"/>
      <c r="N41" s="6"/>
      <c r="O41" s="6"/>
      <c r="P41" s="6"/>
      <c r="Q41" s="6"/>
      <c r="R41" s="6"/>
      <c r="S41" s="6"/>
      <c r="T41" s="6"/>
      <c r="U41" s="6"/>
      <c r="V41" s="6"/>
      <c r="W41" s="6"/>
      <c r="X41" s="6"/>
      <c r="Y41" s="6"/>
      <c r="Z41" s="6"/>
    </row>
    <row r="42" ht="21.0" customHeight="1">
      <c r="A42" s="8" t="s">
        <v>142</v>
      </c>
      <c r="B42" s="9" t="s">
        <v>143</v>
      </c>
      <c r="C42" s="10" t="str">
        <f t="shared" si="1"/>
        <v>https://jonathan-harris.online/ebooks/</v>
      </c>
      <c r="D42" s="11" t="s">
        <v>144</v>
      </c>
      <c r="E42" s="11" t="s">
        <v>36</v>
      </c>
      <c r="F42" s="12"/>
      <c r="G42" s="12"/>
      <c r="H42" s="11"/>
      <c r="I42" s="11" t="str">
        <f>IFERROR(VLOOKUP($F42,'BuyNow Redirects'!$C$2:$J$37,5,FALSE),"")</f>
        <v/>
      </c>
      <c r="J42" s="13" t="str">
        <f>IFERROR(VLOOKUP($F42,'BuyNow Redirects'!$C$2:$J$37,6,FALSE),"")</f>
        <v/>
      </c>
      <c r="K42" s="14" t="str">
        <f>IFERROR(VLOOKUP($F42,'BuyNow Redirects'!$C$2:$J$37,7,FALSE),"")</f>
        <v/>
      </c>
      <c r="L42" s="12" t="str">
        <f>IFERROR(VLOOKUP($F42,'BuyNow Redirects'!$C$2:$J$37,8,FALSE),"")</f>
        <v/>
      </c>
      <c r="M42" s="6"/>
      <c r="N42" s="6"/>
      <c r="O42" s="6"/>
      <c r="P42" s="6"/>
      <c r="Q42" s="6"/>
      <c r="R42" s="6"/>
      <c r="S42" s="6"/>
      <c r="T42" s="6"/>
      <c r="U42" s="6"/>
      <c r="V42" s="6"/>
      <c r="W42" s="6"/>
      <c r="X42" s="6"/>
      <c r="Y42" s="6"/>
      <c r="Z42" s="6"/>
    </row>
    <row r="43" ht="21.0" customHeight="1">
      <c r="A43" s="15" t="s">
        <v>145</v>
      </c>
      <c r="B43" s="16" t="s">
        <v>146</v>
      </c>
      <c r="C43" s="17" t="str">
        <f t="shared" si="1"/>
        <v>https://jonathan-harris.online/ebooks/ai-and-formula-1-redefining-speed-and-strategy-with-intelligent-technology/</v>
      </c>
      <c r="D43" s="18" t="s">
        <v>147</v>
      </c>
      <c r="E43" s="18" t="s">
        <v>148</v>
      </c>
      <c r="F43" s="19" t="s">
        <v>149</v>
      </c>
      <c r="G43" s="19" t="s">
        <v>150</v>
      </c>
      <c r="H43" s="18"/>
      <c r="I43" s="18" t="str">
        <f>IFERROR(VLOOKUP($F43,'BuyNow Redirects'!$C$2:$J$37,5,FALSE),"")</f>
        <v>B0DQHSD858</v>
      </c>
      <c r="J43" s="20" t="str">
        <f>IFERROR(VLOOKUP($F43,'BuyNow Redirects'!$C$2:$J$37,6,FALSE),"")</f>
        <v>227</v>
      </c>
      <c r="K43" s="21" t="str">
        <f>IFERROR(VLOOKUP($F43,'BuyNow Redirects'!$C$2:$J$37,7,FALSE),"")</f>
        <v>2024-12-14</v>
      </c>
      <c r="L43" s="22" t="str">
        <f>IFERROR(VLOOKUP($F43,'BuyNow Redirects'!$C$2:$J$37,8,FALSE),"")</f>
        <v>https://images.jonathan-harris.online/ai-formula-speed-webp</v>
      </c>
      <c r="M43" s="6"/>
      <c r="N43" s="6"/>
      <c r="O43" s="6"/>
      <c r="P43" s="6"/>
      <c r="Q43" s="6"/>
      <c r="R43" s="6"/>
      <c r="S43" s="6"/>
      <c r="T43" s="6"/>
      <c r="U43" s="6"/>
      <c r="V43" s="6"/>
      <c r="W43" s="6"/>
      <c r="X43" s="6"/>
      <c r="Y43" s="6"/>
      <c r="Z43" s="6"/>
    </row>
    <row r="44" ht="21.0" customHeight="1">
      <c r="A44" s="8" t="s">
        <v>151</v>
      </c>
      <c r="B44" s="9" t="s">
        <v>152</v>
      </c>
      <c r="C44" s="10" t="str">
        <f t="shared" si="1"/>
        <v>https://jonathan-harris.online/ebooks/ai-in-agriculture-revolutionizing-farming-for-a-sustainable-future/</v>
      </c>
      <c r="D44" s="11" t="s">
        <v>153</v>
      </c>
      <c r="E44" s="11" t="s">
        <v>148</v>
      </c>
      <c r="F44" s="12" t="s">
        <v>154</v>
      </c>
      <c r="G44" s="12" t="s">
        <v>155</v>
      </c>
      <c r="H44" s="11"/>
      <c r="I44" s="11" t="str">
        <f>IFERROR(VLOOKUP($F44,'BuyNow Redirects'!$C$2:$J$37,5,FALSE),"")</f>
        <v>B0DMN32J3Y</v>
      </c>
      <c r="J44" s="13" t="str">
        <f>IFERROR(VLOOKUP($F44,'BuyNow Redirects'!$C$2:$J$37,6,FALSE),"")</f>
        <v>330</v>
      </c>
      <c r="K44" s="14" t="str">
        <f>IFERROR(VLOOKUP($F44,'BuyNow Redirects'!$C$2:$J$37,7,FALSE),"")</f>
        <v>2024-11-10</v>
      </c>
      <c r="L44" s="23" t="str">
        <f>IFERROR(VLOOKUP($F44,'BuyNow Redirects'!$C$2:$J$37,8,FALSE),"")</f>
        <v>https://images.jonathan-harris.online/ai-agriculture-farming-sustainable-webp</v>
      </c>
      <c r="M44" s="6"/>
      <c r="N44" s="6"/>
      <c r="O44" s="6"/>
      <c r="P44" s="6"/>
      <c r="Q44" s="6"/>
      <c r="R44" s="6"/>
      <c r="S44" s="6"/>
      <c r="T44" s="6"/>
      <c r="U44" s="6"/>
      <c r="V44" s="6"/>
      <c r="W44" s="6"/>
      <c r="X44" s="6"/>
      <c r="Y44" s="6"/>
      <c r="Z44" s="6"/>
    </row>
    <row r="45" ht="21.0" customHeight="1">
      <c r="A45" s="15" t="s">
        <v>156</v>
      </c>
      <c r="B45" s="16" t="s">
        <v>157</v>
      </c>
      <c r="C45" s="17" t="str">
        <f t="shared" si="1"/>
        <v>https://jonathan-harris.online/ebooks/ai-in-aviation-transforming-safety-and-sustainability/</v>
      </c>
      <c r="D45" s="18" t="s">
        <v>158</v>
      </c>
      <c r="E45" s="18" t="s">
        <v>148</v>
      </c>
      <c r="F45" s="19" t="s">
        <v>159</v>
      </c>
      <c r="G45" s="19" t="s">
        <v>160</v>
      </c>
      <c r="H45" s="18"/>
      <c r="I45" s="18" t="str">
        <f>IFERROR(VLOOKUP($F45,'BuyNow Redirects'!$C$2:$J$37,5,FALSE),"")</f>
        <v>B0DMKTLMX6</v>
      </c>
      <c r="J45" s="20" t="str">
        <f>IFERROR(VLOOKUP($F45,'BuyNow Redirects'!$C$2:$J$37,6,FALSE),"")</f>
        <v>284</v>
      </c>
      <c r="K45" s="21" t="str">
        <f>IFERROR(VLOOKUP($F45,'BuyNow Redirects'!$C$2:$J$37,7,FALSE),"")</f>
        <v>2024-11-09</v>
      </c>
      <c r="L45" s="22" t="str">
        <f>IFERROR(VLOOKUP($F45,'BuyNow Redirects'!$C$2:$J$37,8,FALSE),"")</f>
        <v>https://images.jonathan-harris.online/ai-aviation-safety-webp</v>
      </c>
      <c r="M45" s="6"/>
      <c r="N45" s="6"/>
      <c r="O45" s="6"/>
      <c r="P45" s="6"/>
      <c r="Q45" s="6"/>
      <c r="R45" s="6"/>
      <c r="S45" s="6"/>
      <c r="T45" s="6"/>
      <c r="U45" s="6"/>
      <c r="V45" s="6"/>
      <c r="W45" s="6"/>
      <c r="X45" s="6"/>
      <c r="Y45" s="6"/>
      <c r="Z45" s="6"/>
    </row>
    <row r="46" ht="21.0" customHeight="1">
      <c r="A46" s="8" t="s">
        <v>161</v>
      </c>
      <c r="B46" s="9" t="s">
        <v>162</v>
      </c>
      <c r="C46" s="10" t="str">
        <f t="shared" si="1"/>
        <v>https://jonathan-harris.online/ebooks/ai-in-education-reimagining-learning-for-every-student/</v>
      </c>
      <c r="D46" s="11" t="s">
        <v>163</v>
      </c>
      <c r="E46" s="11" t="s">
        <v>148</v>
      </c>
      <c r="F46" s="12" t="s">
        <v>164</v>
      </c>
      <c r="G46" s="12" t="s">
        <v>165</v>
      </c>
      <c r="H46" s="11"/>
      <c r="I46" s="11" t="str">
        <f>IFERROR(VLOOKUP($F46,'BuyNow Redirects'!$C$2:$J$37,5,FALSE),"")</f>
        <v>B0DMKXWQDK</v>
      </c>
      <c r="J46" s="13" t="str">
        <f>IFERROR(VLOOKUP($F46,'BuyNow Redirects'!$C$2:$J$37,6,FALSE),"")</f>
        <v>323</v>
      </c>
      <c r="K46" s="14" t="str">
        <f>IFERROR(VLOOKUP($F46,'BuyNow Redirects'!$C$2:$J$37,7,FALSE),"")</f>
        <v>2024-11-09</v>
      </c>
      <c r="L46" s="23" t="str">
        <f>IFERROR(VLOOKUP($F46,'BuyNow Redirects'!$C$2:$J$37,8,FALSE),"")</f>
        <v>https://images.jonathan-harris.online/ai-education-reimagining-learning-webp</v>
      </c>
      <c r="M46" s="6"/>
      <c r="N46" s="6"/>
      <c r="O46" s="6"/>
      <c r="P46" s="6"/>
      <c r="Q46" s="6"/>
      <c r="R46" s="6"/>
      <c r="S46" s="6"/>
      <c r="T46" s="6"/>
      <c r="U46" s="6"/>
      <c r="V46" s="6"/>
      <c r="W46" s="6"/>
      <c r="X46" s="6"/>
      <c r="Y46" s="6"/>
      <c r="Z46" s="6"/>
    </row>
    <row r="47" ht="21.0" customHeight="1">
      <c r="A47" s="15" t="s">
        <v>166</v>
      </c>
      <c r="B47" s="16" t="s">
        <v>167</v>
      </c>
      <c r="C47" s="17" t="str">
        <f t="shared" si="1"/>
        <v>https://jonathan-harris.online/ebooks/ai-in-maritime-revolutionizing-shipping-for-sustainability/</v>
      </c>
      <c r="D47" s="18" t="s">
        <v>168</v>
      </c>
      <c r="E47" s="18" t="s">
        <v>148</v>
      </c>
      <c r="F47" s="19" t="s">
        <v>169</v>
      </c>
      <c r="G47" s="19" t="s">
        <v>170</v>
      </c>
      <c r="H47" s="18"/>
      <c r="I47" s="18" t="str">
        <f>IFERROR(VLOOKUP($F47,'BuyNow Redirects'!$C$2:$J$37,5,FALSE),"")</f>
        <v>B0DMMTGNDJ</v>
      </c>
      <c r="J47" s="20" t="str">
        <f>IFERROR(VLOOKUP($F47,'BuyNow Redirects'!$C$2:$J$37,6,FALSE),"")</f>
        <v>312</v>
      </c>
      <c r="K47" s="21" t="str">
        <f>IFERROR(VLOOKUP($F47,'BuyNow Redirects'!$C$2:$J$37,7,FALSE),"")</f>
        <v>2024-11-10</v>
      </c>
      <c r="L47" s="22" t="str">
        <f>IFERROR(VLOOKUP($F47,'BuyNow Redirects'!$C$2:$J$37,8,FALSE),"")</f>
        <v>https://images.jonathan-harris.online/ai-maritime-shipping-webp</v>
      </c>
      <c r="M47" s="6"/>
      <c r="N47" s="6"/>
      <c r="O47" s="6"/>
      <c r="P47" s="6"/>
      <c r="Q47" s="6"/>
      <c r="R47" s="6"/>
      <c r="S47" s="6"/>
      <c r="T47" s="6"/>
      <c r="U47" s="6"/>
      <c r="V47" s="6"/>
      <c r="W47" s="6"/>
      <c r="X47" s="6"/>
      <c r="Y47" s="6"/>
      <c r="Z47" s="6"/>
    </row>
    <row r="48" ht="21.0" customHeight="1">
      <c r="A48" s="8" t="s">
        <v>171</v>
      </c>
      <c r="B48" s="9" t="s">
        <v>172</v>
      </c>
      <c r="C48" s="10" t="str">
        <f t="shared" si="1"/>
        <v>https://jonathan-harris.online/ebooks/ai-powered-smart-grid-revolutionizing-electricity-distribution-and-generation/</v>
      </c>
      <c r="D48" s="11" t="s">
        <v>173</v>
      </c>
      <c r="E48" s="11" t="s">
        <v>148</v>
      </c>
      <c r="F48" s="12" t="s">
        <v>174</v>
      </c>
      <c r="G48" s="12" t="s">
        <v>175</v>
      </c>
      <c r="H48" s="11"/>
      <c r="I48" s="11" t="str">
        <f>IFERROR(VLOOKUP($F48,'BuyNow Redirects'!$C$2:$J$37,5,FALSE),"")</f>
        <v>B0DMKFZ3W3</v>
      </c>
      <c r="J48" s="13" t="str">
        <f>IFERROR(VLOOKUP($F48,'BuyNow Redirects'!$C$2:$J$37,6,FALSE),"")</f>
        <v>338</v>
      </c>
      <c r="K48" s="14" t="str">
        <f>IFERROR(VLOOKUP($F48,'BuyNow Redirects'!$C$2:$J$37,7,FALSE),"")</f>
        <v>2024-11-08</v>
      </c>
      <c r="L48" s="23" t="str">
        <f>IFERROR(VLOOKUP($F48,'BuyNow Redirects'!$C$2:$J$37,8,FALSE),"")</f>
        <v>https://images.jonathan-harris.online/ai-smart-grid-electricity-webp</v>
      </c>
      <c r="M48" s="6"/>
      <c r="N48" s="6"/>
      <c r="O48" s="6"/>
      <c r="P48" s="6"/>
      <c r="Q48" s="6"/>
      <c r="R48" s="6"/>
      <c r="S48" s="6"/>
      <c r="T48" s="6"/>
      <c r="U48" s="6"/>
      <c r="V48" s="6"/>
      <c r="W48" s="6"/>
      <c r="X48" s="6"/>
      <c r="Y48" s="6"/>
      <c r="Z48" s="6"/>
    </row>
    <row r="49" ht="21.0" customHeight="1">
      <c r="A49" s="15" t="s">
        <v>176</v>
      </c>
      <c r="B49" s="16" t="s">
        <v>177</v>
      </c>
      <c r="C49" s="17" t="str">
        <f t="shared" si="1"/>
        <v>https://jonathan-harris.online/ebooks/ai-revolution-in-railways-modernizing-travel-for-a-smarter-future/</v>
      </c>
      <c r="D49" s="18" t="s">
        <v>178</v>
      </c>
      <c r="E49" s="18" t="s">
        <v>148</v>
      </c>
      <c r="F49" s="19" t="s">
        <v>179</v>
      </c>
      <c r="G49" s="19" t="s">
        <v>180</v>
      </c>
      <c r="H49" s="18"/>
      <c r="I49" s="18" t="str">
        <f>IFERROR(VLOOKUP($F49,'BuyNow Redirects'!$C$2:$J$37,5,FALSE),"")</f>
        <v>B0DWM19MZH</v>
      </c>
      <c r="J49" s="20" t="str">
        <f>IFERROR(VLOOKUP($F49,'BuyNow Redirects'!$C$2:$J$37,6,FALSE),"")</f>
        <v>254</v>
      </c>
      <c r="K49" s="21" t="str">
        <f>IFERROR(VLOOKUP($F49,'BuyNow Redirects'!$C$2:$J$37,7,FALSE),"")</f>
        <v>2025-02-08</v>
      </c>
      <c r="L49" s="22" t="str">
        <f>IFERROR(VLOOKUP($F49,'BuyNow Redirects'!$C$2:$J$37,8,FALSE),"")</f>
        <v>https://images.jonathan-harris.online/ai-revolution-railways-modernizing-webp</v>
      </c>
      <c r="M49" s="6"/>
      <c r="N49" s="6"/>
      <c r="O49" s="6"/>
      <c r="P49" s="6"/>
      <c r="Q49" s="6"/>
      <c r="R49" s="6"/>
      <c r="S49" s="6"/>
      <c r="T49" s="6"/>
      <c r="U49" s="6"/>
      <c r="V49" s="6"/>
      <c r="W49" s="6"/>
      <c r="X49" s="6"/>
      <c r="Y49" s="6"/>
      <c r="Z49" s="6"/>
    </row>
    <row r="50" ht="21.0" customHeight="1">
      <c r="A50" s="8" t="s">
        <v>181</v>
      </c>
      <c r="B50" s="9" t="s">
        <v>182</v>
      </c>
      <c r="C50" s="10" t="str">
        <f t="shared" si="1"/>
        <v>https://jonathan-harris.online/ebooks/artificial-intelligence-and-the-law-case-studies-and-future-trends/</v>
      </c>
      <c r="D50" s="11" t="s">
        <v>183</v>
      </c>
      <c r="E50" s="11" t="s">
        <v>148</v>
      </c>
      <c r="F50" s="12" t="s">
        <v>184</v>
      </c>
      <c r="G50" s="12" t="s">
        <v>185</v>
      </c>
      <c r="H50" s="11"/>
      <c r="I50" s="11" t="str">
        <f>IFERROR(VLOOKUP($F50,'BuyNow Redirects'!$C$2:$J$37,5,FALSE),"")</f>
        <v>B0DQHTBSWJ</v>
      </c>
      <c r="J50" s="13" t="str">
        <f>IFERROR(VLOOKUP($F50,'BuyNow Redirects'!$C$2:$J$37,6,FALSE),"")</f>
        <v>224</v>
      </c>
      <c r="K50" s="14" t="str">
        <f>IFERROR(VLOOKUP($F50,'BuyNow Redirects'!$C$2:$J$37,7,FALSE),"")</f>
        <v>2024-12-14</v>
      </c>
      <c r="L50" s="23" t="str">
        <f>IFERROR(VLOOKUP($F50,'BuyNow Redirects'!$C$2:$J$37,8,FALSE),"")</f>
        <v>https://images.jonathan-harris.online/artificial-intelligence-law-webp</v>
      </c>
      <c r="M50" s="6"/>
      <c r="N50" s="6"/>
      <c r="O50" s="6"/>
      <c r="P50" s="6"/>
      <c r="Q50" s="6"/>
      <c r="R50" s="6"/>
      <c r="S50" s="6"/>
      <c r="T50" s="6"/>
      <c r="U50" s="6"/>
      <c r="V50" s="6"/>
      <c r="W50" s="6"/>
      <c r="X50" s="6"/>
      <c r="Y50" s="6"/>
      <c r="Z50" s="6"/>
    </row>
    <row r="51" ht="21.0" customHeight="1">
      <c r="A51" s="15" t="s">
        <v>186</v>
      </c>
      <c r="B51" s="16" t="s">
        <v>187</v>
      </c>
      <c r="C51" s="17" t="str">
        <f t="shared" si="1"/>
        <v>https://jonathan-harris.online/ebooks/artificial-intelligence-for-cyber-security-a-practical-guide-to-data-breach-prevention/</v>
      </c>
      <c r="D51" s="18" t="s">
        <v>188</v>
      </c>
      <c r="E51" s="18" t="s">
        <v>148</v>
      </c>
      <c r="F51" s="19" t="s">
        <v>189</v>
      </c>
      <c r="G51" s="19" t="s">
        <v>190</v>
      </c>
      <c r="H51" s="18"/>
      <c r="I51" s="18" t="str">
        <f>IFERROR(VLOOKUP($F51,'BuyNow Redirects'!$C$2:$J$37,5,FALSE),"")</f>
        <v>B0DN4GZZQ4</v>
      </c>
      <c r="J51" s="20" t="str">
        <f>IFERROR(VLOOKUP($F51,'BuyNow Redirects'!$C$2:$J$37,6,FALSE),"")</f>
        <v>269</v>
      </c>
      <c r="K51" s="21" t="str">
        <f>IFERROR(VLOOKUP($F51,'BuyNow Redirects'!$C$2:$J$37,7,FALSE),"")</f>
        <v>2024-11-14</v>
      </c>
      <c r="L51" s="22" t="str">
        <f>IFERROR(VLOOKUP($F51,'BuyNow Redirects'!$C$2:$J$37,8,FALSE),"")</f>
        <v>https://images.jonathan-harris.online/artificial-intelligence-cyber-practical-webp</v>
      </c>
      <c r="M51" s="6"/>
      <c r="N51" s="6"/>
      <c r="O51" s="6"/>
      <c r="P51" s="6"/>
      <c r="Q51" s="6"/>
      <c r="R51" s="6"/>
      <c r="S51" s="6"/>
      <c r="T51" s="6"/>
      <c r="U51" s="6"/>
      <c r="V51" s="6"/>
      <c r="W51" s="6"/>
      <c r="X51" s="6"/>
      <c r="Y51" s="6"/>
      <c r="Z51" s="6"/>
    </row>
    <row r="52" ht="21.0" customHeight="1">
      <c r="A52" s="8" t="s">
        <v>191</v>
      </c>
      <c r="B52" s="9" t="s">
        <v>192</v>
      </c>
      <c r="C52" s="10" t="str">
        <f t="shared" si="1"/>
        <v>https://jonathan-harris.online/ebooks/artificial-intelligence-for-wildlife-conservation-revolutionizing-biodiversity-protection-through-technology/</v>
      </c>
      <c r="D52" s="11" t="s">
        <v>193</v>
      </c>
      <c r="E52" s="11" t="s">
        <v>148</v>
      </c>
      <c r="F52" s="12" t="s">
        <v>194</v>
      </c>
      <c r="G52" s="12" t="s">
        <v>195</v>
      </c>
      <c r="H52" s="11"/>
      <c r="I52" s="11" t="str">
        <f>IFERROR(VLOOKUP($F52,'BuyNow Redirects'!$C$2:$J$37,5,FALSE),"")</f>
        <v>B0DQK6B53Z</v>
      </c>
      <c r="J52" s="13" t="str">
        <f>IFERROR(VLOOKUP($F52,'BuyNow Redirects'!$C$2:$J$37,6,FALSE),"")</f>
        <v>221</v>
      </c>
      <c r="K52" s="14" t="str">
        <f>IFERROR(VLOOKUP($F52,'BuyNow Redirects'!$C$2:$J$37,7,FALSE),"")</f>
        <v>2024-12-15</v>
      </c>
      <c r="L52" s="23" t="str">
        <f>IFERROR(VLOOKUP($F52,'BuyNow Redirects'!$C$2:$J$37,8,FALSE),"")</f>
        <v>https://images.jonathan-harris.online/artificial-intelligence-wildlife-conservation-webp</v>
      </c>
      <c r="M52" s="6"/>
      <c r="N52" s="6"/>
      <c r="O52" s="6"/>
      <c r="P52" s="6"/>
      <c r="Q52" s="6"/>
      <c r="R52" s="6"/>
      <c r="S52" s="6"/>
      <c r="T52" s="6"/>
      <c r="U52" s="6"/>
      <c r="V52" s="6"/>
      <c r="W52" s="6"/>
      <c r="X52" s="6"/>
      <c r="Y52" s="6"/>
      <c r="Z52" s="6"/>
    </row>
    <row r="53" ht="21.0" customHeight="1">
      <c r="A53" s="15" t="s">
        <v>196</v>
      </c>
      <c r="B53" s="16" t="s">
        <v>197</v>
      </c>
      <c r="C53" s="17" t="str">
        <f t="shared" si="1"/>
        <v>https://jonathan-harris.online/ebooks/artificial-intelligence-in-banking-revolutionizing-finance-and-data-security/</v>
      </c>
      <c r="D53" s="18" t="s">
        <v>198</v>
      </c>
      <c r="E53" s="18" t="s">
        <v>148</v>
      </c>
      <c r="F53" s="19" t="s">
        <v>199</v>
      </c>
      <c r="G53" s="19" t="s">
        <v>200</v>
      </c>
      <c r="H53" s="18"/>
      <c r="I53" s="18" t="str">
        <f>IFERROR(VLOOKUP($F53,'BuyNow Redirects'!$C$2:$J$37,5,FALSE),"")</f>
        <v>B0DML75B3C</v>
      </c>
      <c r="J53" s="20" t="str">
        <f>IFERROR(VLOOKUP($F53,'BuyNow Redirects'!$C$2:$J$37,6,FALSE),"")</f>
        <v>286</v>
      </c>
      <c r="K53" s="21" t="str">
        <f>IFERROR(VLOOKUP($F53,'BuyNow Redirects'!$C$2:$J$37,7,FALSE),"")</f>
        <v>2024-11-09</v>
      </c>
      <c r="L53" s="22" t="str">
        <f>IFERROR(VLOOKUP($F53,'BuyNow Redirects'!$C$2:$J$37,8,FALSE),"")</f>
        <v>https://images.jonathan-harris.online/artificial-intelligence-banking-finance-webp</v>
      </c>
      <c r="M53" s="6"/>
      <c r="N53" s="6"/>
      <c r="O53" s="6"/>
      <c r="P53" s="6"/>
      <c r="Q53" s="6"/>
      <c r="R53" s="6"/>
      <c r="S53" s="6"/>
      <c r="T53" s="6"/>
      <c r="U53" s="6"/>
      <c r="V53" s="6"/>
      <c r="W53" s="6"/>
      <c r="X53" s="6"/>
      <c r="Y53" s="6"/>
      <c r="Z53" s="6"/>
    </row>
    <row r="54" ht="21.0" customHeight="1">
      <c r="A54" s="8" t="s">
        <v>201</v>
      </c>
      <c r="B54" s="9" t="s">
        <v>202</v>
      </c>
      <c r="C54" s="10" t="str">
        <f t="shared" si="1"/>
        <v>https://jonathan-harris.online/ebooks/artificial-intelligence-in-construction-building-a-sustainable-future/</v>
      </c>
      <c r="D54" s="11" t="s">
        <v>203</v>
      </c>
      <c r="E54" s="11" t="s">
        <v>148</v>
      </c>
      <c r="F54" s="12" t="s">
        <v>204</v>
      </c>
      <c r="G54" s="12" t="s">
        <v>205</v>
      </c>
      <c r="H54" s="11"/>
      <c r="I54" s="11" t="str">
        <f>IFERROR(VLOOKUP($F54,'BuyNow Redirects'!$C$2:$J$37,5,FALSE),"")</f>
        <v>B0DMQMGLP4</v>
      </c>
      <c r="J54" s="13" t="str">
        <f>IFERROR(VLOOKUP($F54,'BuyNow Redirects'!$C$2:$J$37,6,FALSE),"")</f>
        <v>319</v>
      </c>
      <c r="K54" s="14" t="str">
        <f>IFERROR(VLOOKUP($F54,'BuyNow Redirects'!$C$2:$J$37,7,FALSE),"")</f>
        <v>2024-11-11</v>
      </c>
      <c r="L54" s="23" t="str">
        <f>IFERROR(VLOOKUP($F54,'BuyNow Redirects'!$C$2:$J$37,8,FALSE),"")</f>
        <v>https://images.jonathan-harris.online/artificial-intelligence-construction-building-webp</v>
      </c>
      <c r="M54" s="6"/>
      <c r="N54" s="6"/>
      <c r="O54" s="6"/>
      <c r="P54" s="6"/>
      <c r="Q54" s="6"/>
      <c r="R54" s="6"/>
      <c r="S54" s="6"/>
      <c r="T54" s="6"/>
      <c r="U54" s="6"/>
      <c r="V54" s="6"/>
      <c r="W54" s="6"/>
      <c r="X54" s="6"/>
      <c r="Y54" s="6"/>
      <c r="Z54" s="6"/>
    </row>
    <row r="55" ht="21.0" customHeight="1">
      <c r="A55" s="15" t="s">
        <v>206</v>
      </c>
      <c r="B55" s="16" t="s">
        <v>207</v>
      </c>
      <c r="C55" s="17" t="str">
        <f t="shared" si="1"/>
        <v>https://jonathan-harris.online/ebooks/artificial-intelligence-in-industry-a-comprehensive-guide/</v>
      </c>
      <c r="D55" s="18" t="s">
        <v>208</v>
      </c>
      <c r="E55" s="18" t="s">
        <v>148</v>
      </c>
      <c r="F55" s="19" t="s">
        <v>209</v>
      </c>
      <c r="G55" s="19" t="s">
        <v>210</v>
      </c>
      <c r="H55" s="18"/>
      <c r="I55" s="18" t="str">
        <f>IFERROR(VLOOKUP($F55,'BuyNow Redirects'!$C$2:$J$37,5,FALSE),"")</f>
        <v>B0DMV47ZRL</v>
      </c>
      <c r="J55" s="20" t="str">
        <f>IFERROR(VLOOKUP($F55,'BuyNow Redirects'!$C$2:$J$37,6,FALSE),"")</f>
        <v>347</v>
      </c>
      <c r="K55" s="21" t="str">
        <f>IFERROR(VLOOKUP($F55,'BuyNow Redirects'!$C$2:$J$37,7,FALSE),"")</f>
        <v>2024-11-12</v>
      </c>
      <c r="L55" s="22" t="str">
        <f>IFERROR(VLOOKUP($F55,'BuyNow Redirects'!$C$2:$J$37,8,FALSE),"")</f>
        <v>https://images.jonathan-harris.online/artificial-intelligence-industry-comprehensive-webp</v>
      </c>
      <c r="M55" s="6"/>
      <c r="N55" s="6"/>
      <c r="O55" s="6"/>
      <c r="P55" s="6"/>
      <c r="Q55" s="6"/>
      <c r="R55" s="6"/>
      <c r="S55" s="6"/>
      <c r="T55" s="6"/>
      <c r="U55" s="6"/>
      <c r="V55" s="6"/>
      <c r="W55" s="6"/>
      <c r="X55" s="6"/>
      <c r="Y55" s="6"/>
      <c r="Z55" s="6"/>
    </row>
    <row r="56" ht="21.0" customHeight="1">
      <c r="A56" s="8" t="s">
        <v>211</v>
      </c>
      <c r="B56" s="9" t="s">
        <v>212</v>
      </c>
      <c r="C56" s="10" t="str">
        <f t="shared" si="1"/>
        <v>https://jonathan-harris.online/ebooks/artificial-intelligence-in-logistics-optimizing-efficiency-and-sustainability/</v>
      </c>
      <c r="D56" s="11" t="s">
        <v>213</v>
      </c>
      <c r="E56" s="11" t="s">
        <v>148</v>
      </c>
      <c r="F56" s="12" t="s">
        <v>214</v>
      </c>
      <c r="G56" s="12" t="s">
        <v>215</v>
      </c>
      <c r="H56" s="11"/>
      <c r="I56" s="11" t="str">
        <f>IFERROR(VLOOKUP($F56,'BuyNow Redirects'!$C$2:$J$37,5,FALSE),"")</f>
        <v>B0DMQLK6LY</v>
      </c>
      <c r="J56" s="13" t="str">
        <f>IFERROR(VLOOKUP($F56,'BuyNow Redirects'!$C$2:$J$37,6,FALSE),"")</f>
        <v>339</v>
      </c>
      <c r="K56" s="14" t="str">
        <f>IFERROR(VLOOKUP($F56,'BuyNow Redirects'!$C$2:$J$37,7,FALSE),"")</f>
        <v>2024-11-11</v>
      </c>
      <c r="L56" s="23" t="str">
        <f>IFERROR(VLOOKUP($F56,'BuyNow Redirects'!$C$2:$J$37,8,FALSE),"")</f>
        <v>https://images.jonathan-harris.online/artificial-intelligence-logistics-webp</v>
      </c>
      <c r="M56" s="6"/>
      <c r="N56" s="6"/>
      <c r="O56" s="6"/>
      <c r="P56" s="6"/>
      <c r="Q56" s="6"/>
      <c r="R56" s="6"/>
      <c r="S56" s="6"/>
      <c r="T56" s="6"/>
      <c r="U56" s="6"/>
      <c r="V56" s="6"/>
      <c r="W56" s="6"/>
      <c r="X56" s="6"/>
      <c r="Y56" s="6"/>
      <c r="Z56" s="6"/>
    </row>
    <row r="57" ht="21.0" customHeight="1">
      <c r="A57" s="15" t="s">
        <v>216</v>
      </c>
      <c r="B57" s="16" t="s">
        <v>217</v>
      </c>
      <c r="C57" s="17" t="str">
        <f t="shared" si="1"/>
        <v>https://jonathan-harris.online/ebooks/artificial-intelligence-in-pharmaceuticals-revolutionizing-healthcare/</v>
      </c>
      <c r="D57" s="18" t="s">
        <v>218</v>
      </c>
      <c r="E57" s="18" t="s">
        <v>148</v>
      </c>
      <c r="F57" s="19" t="s">
        <v>219</v>
      </c>
      <c r="G57" s="19" t="s">
        <v>220</v>
      </c>
      <c r="H57" s="18"/>
      <c r="I57" s="18" t="str">
        <f>IFERROR(VLOOKUP($F57,'BuyNow Redirects'!$C$2:$J$37,5,FALSE),"")</f>
        <v>B0DN4XSLK9</v>
      </c>
      <c r="J57" s="20" t="str">
        <f>IFERROR(VLOOKUP($F57,'BuyNow Redirects'!$C$2:$J$37,6,FALSE),"")</f>
        <v>328</v>
      </c>
      <c r="K57" s="21" t="str">
        <f>IFERROR(VLOOKUP($F57,'BuyNow Redirects'!$C$2:$J$37,7,FALSE),"")</f>
        <v>2024-11-14</v>
      </c>
      <c r="L57" s="22" t="str">
        <f>IFERROR(VLOOKUP($F57,'BuyNow Redirects'!$C$2:$J$37,8,FALSE),"")</f>
        <v>https://images.jonathan-harris.online/artificial-intelligence-pharmaceuticals-revolutionizing-healthcare-webp</v>
      </c>
      <c r="M57" s="6"/>
      <c r="N57" s="6"/>
      <c r="O57" s="6"/>
      <c r="P57" s="6"/>
      <c r="Q57" s="6"/>
      <c r="R57" s="6"/>
      <c r="S57" s="6"/>
      <c r="T57" s="6"/>
      <c r="U57" s="6"/>
      <c r="V57" s="6"/>
      <c r="W57" s="6"/>
      <c r="X57" s="6"/>
      <c r="Y57" s="6"/>
      <c r="Z57" s="6"/>
    </row>
    <row r="58" ht="21.0" customHeight="1">
      <c r="A58" s="8" t="s">
        <v>221</v>
      </c>
      <c r="B58" s="9" t="s">
        <v>222</v>
      </c>
      <c r="C58" s="10" t="str">
        <f t="shared" si="1"/>
        <v>https://jonathan-harris.online/ebooks/artificial-intelligence-in-sports-revolutionizing-performance-and-fan-engagement/</v>
      </c>
      <c r="D58" s="11" t="s">
        <v>223</v>
      </c>
      <c r="E58" s="11" t="s">
        <v>148</v>
      </c>
      <c r="F58" s="12" t="s">
        <v>224</v>
      </c>
      <c r="G58" s="12" t="s">
        <v>225</v>
      </c>
      <c r="H58" s="11"/>
      <c r="I58" s="11" t="str">
        <f>IFERROR(VLOOKUP($F58,'BuyNow Redirects'!$C$2:$J$37,5,FALSE),"")</f>
        <v>B0DQFJ6XP5</v>
      </c>
      <c r="J58" s="13" t="str">
        <f>IFERROR(VLOOKUP($F58,'BuyNow Redirects'!$C$2:$J$37,6,FALSE),"")</f>
        <v>229</v>
      </c>
      <c r="K58" s="14" t="str">
        <f>IFERROR(VLOOKUP($F58,'BuyNow Redirects'!$C$2:$J$37,7,FALSE),"")</f>
        <v>2024-12-12</v>
      </c>
      <c r="L58" s="23" t="str">
        <f>IFERROR(VLOOKUP($F58,'BuyNow Redirects'!$C$2:$J$37,8,FALSE),"")</f>
        <v>https://images.jonathan-harris.online/artificial-intelligence-sports-performance-webp</v>
      </c>
      <c r="M58" s="6"/>
      <c r="N58" s="6"/>
      <c r="O58" s="6"/>
      <c r="P58" s="6"/>
      <c r="Q58" s="6"/>
      <c r="R58" s="6"/>
      <c r="S58" s="6"/>
      <c r="T58" s="6"/>
      <c r="U58" s="6"/>
      <c r="V58" s="6"/>
      <c r="W58" s="6"/>
      <c r="X58" s="6"/>
      <c r="Y58" s="6"/>
      <c r="Z58" s="6"/>
    </row>
    <row r="59" ht="21.0" customHeight="1">
      <c r="A59" s="15" t="s">
        <v>226</v>
      </c>
      <c r="B59" s="16" t="s">
        <v>227</v>
      </c>
      <c r="C59" s="17" t="str">
        <f t="shared" si="1"/>
        <v>https://jonathan-harris.online/ebooks/artificial-intelligence-in-veterinary-medicine-transforming-animal-healthcare-through-innovation/</v>
      </c>
      <c r="D59" s="18" t="s">
        <v>228</v>
      </c>
      <c r="E59" s="18" t="s">
        <v>148</v>
      </c>
      <c r="F59" s="19" t="s">
        <v>229</v>
      </c>
      <c r="G59" s="19" t="s">
        <v>230</v>
      </c>
      <c r="H59" s="18"/>
      <c r="I59" s="18" t="str">
        <f>IFERROR(VLOOKUP($F59,'BuyNow Redirects'!$C$2:$J$37,5,FALSE),"")</f>
        <v>B0DQK6C563</v>
      </c>
      <c r="J59" s="20" t="str">
        <f>IFERROR(VLOOKUP($F59,'BuyNow Redirects'!$C$2:$J$37,6,FALSE),"")</f>
        <v>205</v>
      </c>
      <c r="K59" s="21" t="str">
        <f>IFERROR(VLOOKUP($F59,'BuyNow Redirects'!$C$2:$J$37,7,FALSE),"")</f>
        <v>2024-12-15</v>
      </c>
      <c r="L59" s="22" t="str">
        <f>IFERROR(VLOOKUP($F59,'BuyNow Redirects'!$C$2:$J$37,8,FALSE),"")</f>
        <v>https://images.jonathan-harris.online/artificial-intelligence-veterinary-medicine-webp</v>
      </c>
      <c r="M59" s="6"/>
      <c r="N59" s="6"/>
      <c r="O59" s="6"/>
      <c r="P59" s="6"/>
      <c r="Q59" s="6"/>
      <c r="R59" s="6"/>
      <c r="S59" s="6"/>
      <c r="T59" s="6"/>
      <c r="U59" s="6"/>
      <c r="V59" s="6"/>
      <c r="W59" s="6"/>
      <c r="X59" s="6"/>
      <c r="Y59" s="6"/>
      <c r="Z59" s="6"/>
    </row>
    <row r="60" ht="21.0" customHeight="1">
      <c r="A60" s="8" t="s">
        <v>231</v>
      </c>
      <c r="B60" s="9" t="s">
        <v>232</v>
      </c>
      <c r="C60" s="10" t="str">
        <f t="shared" si="1"/>
        <v>https://jonathan-harris.online/ebooks/artificial-intelligence-powered-retail-revolutionizing-customer-experience-for-a-sustainable-future/</v>
      </c>
      <c r="D60" s="11" t="s">
        <v>233</v>
      </c>
      <c r="E60" s="11" t="s">
        <v>148</v>
      </c>
      <c r="F60" s="12" t="s">
        <v>234</v>
      </c>
      <c r="G60" s="12" t="s">
        <v>235</v>
      </c>
      <c r="H60" s="11"/>
      <c r="I60" s="11" t="str">
        <f>IFERROR(VLOOKUP($F60,'BuyNow Redirects'!$C$2:$J$37,5,FALSE),"")</f>
        <v>B0DMYHW17M</v>
      </c>
      <c r="J60" s="13" t="str">
        <f>IFERROR(VLOOKUP($F60,'BuyNow Redirects'!$C$2:$J$37,6,FALSE),"")</f>
        <v>234</v>
      </c>
      <c r="K60" s="14" t="str">
        <f>IFERROR(VLOOKUP($F60,'BuyNow Redirects'!$C$2:$J$37,7,FALSE),"")</f>
        <v>2024-11-13</v>
      </c>
      <c r="L60" s="23" t="str">
        <f>IFERROR(VLOOKUP($F60,'BuyNow Redirects'!$C$2:$J$37,8,FALSE),"")</f>
        <v>https://images.jonathan-harris.online/artificial-intelligence-retail-customer-webp</v>
      </c>
      <c r="M60" s="6"/>
      <c r="N60" s="6"/>
      <c r="O60" s="6"/>
      <c r="P60" s="6"/>
      <c r="Q60" s="6"/>
      <c r="R60" s="6"/>
      <c r="S60" s="6"/>
      <c r="T60" s="6"/>
      <c r="U60" s="6"/>
      <c r="V60" s="6"/>
      <c r="W60" s="6"/>
      <c r="X60" s="6"/>
      <c r="Y60" s="6"/>
      <c r="Z60" s="6"/>
    </row>
    <row r="61" ht="21.0" customHeight="1">
      <c r="A61" s="15" t="s">
        <v>236</v>
      </c>
      <c r="B61" s="16" t="s">
        <v>237</v>
      </c>
      <c r="C61" s="17" t="str">
        <f t="shared" si="1"/>
        <v>https://jonathan-harris.online/ebooks/artificial-intelligence-revolution-in-manufacturing-modernizing-operations-maintenance-and-service-delivery/</v>
      </c>
      <c r="D61" s="18" t="s">
        <v>238</v>
      </c>
      <c r="E61" s="18" t="s">
        <v>148</v>
      </c>
      <c r="F61" s="19" t="s">
        <v>239</v>
      </c>
      <c r="G61" s="19" t="s">
        <v>240</v>
      </c>
      <c r="H61" s="18"/>
      <c r="I61" s="18" t="str">
        <f>IFERROR(VLOOKUP($F61,'BuyNow Redirects'!$C$2:$J$37,5,FALSE),"")</f>
        <v>B0DMV2Q6TF</v>
      </c>
      <c r="J61" s="20" t="str">
        <f>IFERROR(VLOOKUP($F61,'BuyNow Redirects'!$C$2:$J$37,6,FALSE),"")</f>
        <v>369</v>
      </c>
      <c r="K61" s="21" t="str">
        <f>IFERROR(VLOOKUP($F61,'BuyNow Redirects'!$C$2:$J$37,7,FALSE),"")</f>
        <v>2024-11-12</v>
      </c>
      <c r="L61" s="22" t="str">
        <f>IFERROR(VLOOKUP($F61,'BuyNow Redirects'!$C$2:$J$37,8,FALSE),"")</f>
        <v>https://images.jonathan-harris.online/artificial-intelligence-revolution-manufacturing-webp</v>
      </c>
      <c r="M61" s="6"/>
      <c r="N61" s="6"/>
      <c r="O61" s="6"/>
      <c r="P61" s="6"/>
      <c r="Q61" s="6"/>
      <c r="R61" s="6"/>
      <c r="S61" s="6"/>
      <c r="T61" s="6"/>
      <c r="U61" s="6"/>
      <c r="V61" s="6"/>
      <c r="W61" s="6"/>
      <c r="X61" s="6"/>
      <c r="Y61" s="6"/>
      <c r="Z61" s="6"/>
    </row>
    <row r="62" ht="21.0" customHeight="1">
      <c r="A62" s="8" t="s">
        <v>241</v>
      </c>
      <c r="B62" s="9" t="s">
        <v>242</v>
      </c>
      <c r="C62" s="10" t="str">
        <f t="shared" si="1"/>
        <v>https://jonathan-harris.online/ebooks/beyond-earth-how-ai-is-transforming-space-exploration/</v>
      </c>
      <c r="D62" s="11" t="s">
        <v>243</v>
      </c>
      <c r="E62" s="11" t="s">
        <v>148</v>
      </c>
      <c r="F62" s="12" t="s">
        <v>244</v>
      </c>
      <c r="G62" s="12" t="s">
        <v>245</v>
      </c>
      <c r="H62" s="11"/>
      <c r="I62" s="11" t="str">
        <f>IFERROR(VLOOKUP($F62,'BuyNow Redirects'!$C$2:$J$37,5,FALSE),"")</f>
        <v>B0DY4Q2Q2D</v>
      </c>
      <c r="J62" s="13" t="str">
        <f>IFERROR(VLOOKUP($F62,'BuyNow Redirects'!$C$2:$J$37,6,FALSE),"")</f>
        <v>350</v>
      </c>
      <c r="K62" s="14" t="str">
        <f>IFERROR(VLOOKUP($F62,'BuyNow Redirects'!$C$2:$J$37,7,FALSE),"")</f>
        <v>2025-02-21</v>
      </c>
      <c r="L62" s="23" t="str">
        <f>IFERROR(VLOOKUP($F62,'BuyNow Redirects'!$C$2:$J$37,8,FALSE),"")</f>
        <v>https://images.jonathan-harris.online/ai-earth-space-exploration-webp</v>
      </c>
      <c r="M62" s="6"/>
      <c r="N62" s="6"/>
      <c r="O62" s="6"/>
      <c r="P62" s="6"/>
      <c r="Q62" s="6"/>
      <c r="R62" s="6"/>
      <c r="S62" s="6"/>
      <c r="T62" s="6"/>
      <c r="U62" s="6"/>
      <c r="V62" s="6"/>
      <c r="W62" s="6"/>
      <c r="X62" s="6"/>
      <c r="Y62" s="6"/>
      <c r="Z62" s="6"/>
    </row>
    <row r="63" ht="21.0" customHeight="1">
      <c r="A63" s="15" t="s">
        <v>246</v>
      </c>
      <c r="B63" s="16" t="s">
        <v>247</v>
      </c>
      <c r="C63" s="17" t="str">
        <f t="shared" si="1"/>
        <v>https://jonathan-harris.online/ebooks/climate-intelligence-harnessing-ai-for-a-greener-future/</v>
      </c>
      <c r="D63" s="18" t="s">
        <v>248</v>
      </c>
      <c r="E63" s="18" t="s">
        <v>148</v>
      </c>
      <c r="F63" s="19" t="s">
        <v>249</v>
      </c>
      <c r="G63" s="19" t="s">
        <v>250</v>
      </c>
      <c r="H63" s="18"/>
      <c r="I63" s="18" t="str">
        <f>IFERROR(VLOOKUP($F63,'BuyNow Redirects'!$C$2:$J$37,5,FALSE),"")</f>
        <v>B0DM72JZ44</v>
      </c>
      <c r="J63" s="20" t="str">
        <f>IFERROR(VLOOKUP($F63,'BuyNow Redirects'!$C$2:$J$37,6,FALSE),"")</f>
        <v>338</v>
      </c>
      <c r="K63" s="21" t="str">
        <f>IFERROR(VLOOKUP($F63,'BuyNow Redirects'!$C$2:$J$37,7,FALSE),"")</f>
        <v>2024-11-06</v>
      </c>
      <c r="L63" s="22" t="str">
        <f>IFERROR(VLOOKUP($F63,'BuyNow Redirects'!$C$2:$J$37,8,FALSE),"")</f>
        <v>https://images.jonathan-harris.online/ai-climate-intelligence-greener-webp</v>
      </c>
      <c r="M63" s="6"/>
      <c r="N63" s="6"/>
      <c r="O63" s="6"/>
      <c r="P63" s="6"/>
      <c r="Q63" s="6"/>
      <c r="R63" s="6"/>
      <c r="S63" s="6"/>
      <c r="T63" s="6"/>
      <c r="U63" s="6"/>
      <c r="V63" s="6"/>
      <c r="W63" s="6"/>
      <c r="X63" s="6"/>
      <c r="Y63" s="6"/>
      <c r="Z63" s="6"/>
    </row>
    <row r="64" ht="21.0" customHeight="1">
      <c r="A64" s="8" t="s">
        <v>251</v>
      </c>
      <c r="B64" s="9" t="s">
        <v>252</v>
      </c>
      <c r="C64" s="10" t="str">
        <f t="shared" si="1"/>
        <v>https://jonathan-harris.online/ebooks/digital-defense-the-role-of-ai-in-modern-warfare/</v>
      </c>
      <c r="D64" s="11" t="s">
        <v>253</v>
      </c>
      <c r="E64" s="11" t="s">
        <v>148</v>
      </c>
      <c r="F64" s="12" t="s">
        <v>254</v>
      </c>
      <c r="G64" s="12" t="s">
        <v>255</v>
      </c>
      <c r="H64" s="11"/>
      <c r="I64" s="11" t="str">
        <f>IFERROR(VLOOKUP($F64,'BuyNow Redirects'!$C$2:$J$37,5,FALSE),"")</f>
        <v>B0DM8256SL</v>
      </c>
      <c r="J64" s="13" t="str">
        <f>IFERROR(VLOOKUP($F64,'BuyNow Redirects'!$C$2:$J$37,6,FALSE),"")</f>
        <v>296</v>
      </c>
      <c r="K64" s="14" t="str">
        <f>IFERROR(VLOOKUP($F64,'BuyNow Redirects'!$C$2:$J$37,7,FALSE),"")</f>
        <v>2024-11-06</v>
      </c>
      <c r="L64" s="23" t="str">
        <f>IFERROR(VLOOKUP($F64,'BuyNow Redirects'!$C$2:$J$37,8,FALSE),"")</f>
        <v>https://images.jonathan-harris.online/ai-digital-defense-modern-webp</v>
      </c>
      <c r="M64" s="6"/>
      <c r="N64" s="6"/>
      <c r="O64" s="6"/>
      <c r="P64" s="6"/>
      <c r="Q64" s="6"/>
      <c r="R64" s="6"/>
      <c r="S64" s="6"/>
      <c r="T64" s="6"/>
      <c r="U64" s="6"/>
      <c r="V64" s="6"/>
      <c r="W64" s="6"/>
      <c r="X64" s="6"/>
      <c r="Y64" s="6"/>
      <c r="Z64" s="6"/>
    </row>
    <row r="65" ht="21.0" customHeight="1">
      <c r="A65" s="15" t="s">
        <v>256</v>
      </c>
      <c r="B65" s="16" t="s">
        <v>257</v>
      </c>
      <c r="C65" s="17" t="str">
        <f t="shared" si="1"/>
        <v>https://jonathan-harris.online/ebooks/digital-diagnosis-how-ai-is-revolutionizing-healthcare/</v>
      </c>
      <c r="D65" s="18" t="s">
        <v>258</v>
      </c>
      <c r="E65" s="18" t="s">
        <v>148</v>
      </c>
      <c r="F65" s="19" t="s">
        <v>259</v>
      </c>
      <c r="G65" s="19" t="s">
        <v>260</v>
      </c>
      <c r="H65" s="18"/>
      <c r="I65" s="18" t="str">
        <f>IFERROR(VLOOKUP($F65,'BuyNow Redirects'!$C$2:$J$37,5,FALSE),"")</f>
        <v>B0DM73FR3W</v>
      </c>
      <c r="J65" s="20" t="str">
        <f>IFERROR(VLOOKUP($F65,'BuyNow Redirects'!$C$2:$J$37,6,FALSE),"")</f>
        <v>348</v>
      </c>
      <c r="K65" s="21" t="str">
        <f>IFERROR(VLOOKUP($F65,'BuyNow Redirects'!$C$2:$J$37,7,FALSE),"")</f>
        <v>2024-11-06</v>
      </c>
      <c r="L65" s="22" t="str">
        <f>IFERROR(VLOOKUP($F65,'BuyNow Redirects'!$C$2:$J$37,8,FALSE),"")</f>
        <v>https://images.jonathan-harris.online/ai-digital-diagnosis-healthcare-webp</v>
      </c>
      <c r="M65" s="6"/>
      <c r="N65" s="6"/>
      <c r="O65" s="6"/>
      <c r="P65" s="6"/>
      <c r="Q65" s="6"/>
      <c r="R65" s="6"/>
      <c r="S65" s="6"/>
      <c r="T65" s="6"/>
      <c r="U65" s="6"/>
      <c r="V65" s="6"/>
      <c r="W65" s="6"/>
      <c r="X65" s="6"/>
      <c r="Y65" s="6"/>
      <c r="Z65" s="6"/>
    </row>
    <row r="66" ht="21.0" customHeight="1">
      <c r="A66" s="8" t="s">
        <v>261</v>
      </c>
      <c r="B66" s="9" t="s">
        <v>262</v>
      </c>
      <c r="C66" s="10" t="str">
        <f t="shared" si="1"/>
        <v>https://jonathan-harris.online/ebooks/from-reporters-to-robots-how-ai-is-reshaping-journalism/</v>
      </c>
      <c r="D66" s="11" t="s">
        <v>263</v>
      </c>
      <c r="E66" s="11" t="s">
        <v>148</v>
      </c>
      <c r="F66" s="12" t="s">
        <v>264</v>
      </c>
      <c r="G66" s="12" t="s">
        <v>265</v>
      </c>
      <c r="H66" s="11"/>
      <c r="I66" s="11" t="str">
        <f>IFERROR(VLOOKUP($F66,'BuyNow Redirects'!$C$2:$J$37,5,FALSE),"")</f>
        <v>B0DY4NP1WF</v>
      </c>
      <c r="J66" s="13" t="str">
        <f>IFERROR(VLOOKUP($F66,'BuyNow Redirects'!$C$2:$J$37,6,FALSE),"")</f>
        <v>334</v>
      </c>
      <c r="K66" s="14" t="str">
        <f>IFERROR(VLOOKUP($F66,'BuyNow Redirects'!$C$2:$J$37,7,FALSE),"")</f>
        <v>2025-02-21</v>
      </c>
      <c r="L66" s="23" t="str">
        <f>IFERROR(VLOOKUP($F66,'BuyNow Redirects'!$C$2:$J$37,8,FALSE),"")</f>
        <v>https://images.jonathan-harris.online/ai-reporters-robots-reshaping-webp</v>
      </c>
      <c r="M66" s="6"/>
      <c r="N66" s="6"/>
      <c r="O66" s="6"/>
      <c r="P66" s="6"/>
      <c r="Q66" s="6"/>
      <c r="R66" s="6"/>
      <c r="S66" s="6"/>
      <c r="T66" s="6"/>
      <c r="U66" s="6"/>
      <c r="V66" s="6"/>
      <c r="W66" s="6"/>
      <c r="X66" s="6"/>
      <c r="Y66" s="6"/>
      <c r="Z66" s="6"/>
    </row>
    <row r="67" ht="21.0" customHeight="1">
      <c r="A67" s="15" t="s">
        <v>266</v>
      </c>
      <c r="B67" s="16" t="s">
        <v>267</v>
      </c>
      <c r="C67" s="17" t="str">
        <f t="shared" si="1"/>
        <v>https://jonathan-harris.online/ebooks/game-ai-unleashed-from-finite-state-machines-to-machine-learning/</v>
      </c>
      <c r="D67" s="18" t="s">
        <v>268</v>
      </c>
      <c r="E67" s="18" t="s">
        <v>148</v>
      </c>
      <c r="F67" s="19" t="s">
        <v>269</v>
      </c>
      <c r="G67" s="19" t="s">
        <v>270</v>
      </c>
      <c r="H67" s="18"/>
      <c r="I67" s="18" t="str">
        <f>IFERROR(VLOOKUP($F67,'BuyNow Redirects'!$C$2:$J$37,5,FALSE),"")</f>
        <v>B0DY18CYT6</v>
      </c>
      <c r="J67" s="20" t="str">
        <f>IFERROR(VLOOKUP($F67,'BuyNow Redirects'!$C$2:$J$37,6,FALSE),"")</f>
        <v>344</v>
      </c>
      <c r="K67" s="21" t="str">
        <f>IFERROR(VLOOKUP($F67,'BuyNow Redirects'!$C$2:$J$37,7,FALSE),"")</f>
        <v>2025-02-20</v>
      </c>
      <c r="L67" s="22" t="str">
        <f>IFERROR(VLOOKUP($F67,'BuyNow Redirects'!$C$2:$J$37,8,FALSE),"")</f>
        <v>https://images.jonathan-harris.online/ai-game-unleashed-finite-webp</v>
      </c>
      <c r="M67" s="6"/>
      <c r="N67" s="6"/>
      <c r="O67" s="6"/>
      <c r="P67" s="6"/>
      <c r="Q67" s="6"/>
      <c r="R67" s="6"/>
      <c r="S67" s="6"/>
      <c r="T67" s="6"/>
      <c r="U67" s="6"/>
      <c r="V67" s="6"/>
      <c r="W67" s="6"/>
      <c r="X67" s="6"/>
      <c r="Y67" s="6"/>
      <c r="Z67" s="6"/>
    </row>
    <row r="68" ht="21.0" customHeight="1">
      <c r="A68" s="8" t="s">
        <v>271</v>
      </c>
      <c r="B68" s="9" t="s">
        <v>272</v>
      </c>
      <c r="C68" s="10" t="str">
        <f t="shared" si="1"/>
        <v>https://jonathan-harris.online/ebooks/lights-camera-algorithm-ai-s-role-in-modern-filmmaking/</v>
      </c>
      <c r="D68" s="11" t="s">
        <v>273</v>
      </c>
      <c r="E68" s="11" t="s">
        <v>148</v>
      </c>
      <c r="F68" s="12" t="s">
        <v>274</v>
      </c>
      <c r="G68" s="12" t="s">
        <v>275</v>
      </c>
      <c r="H68" s="11"/>
      <c r="I68" s="11" t="str">
        <f>IFERROR(VLOOKUP($F68,'BuyNow Redirects'!$C$2:$J$37,5,FALSE),"")</f>
        <v>B0DY672VRB</v>
      </c>
      <c r="J68" s="13" t="str">
        <f>IFERROR(VLOOKUP($F68,'BuyNow Redirects'!$C$2:$J$37,6,FALSE),"")</f>
        <v>336</v>
      </c>
      <c r="K68" s="14" t="str">
        <f>IFERROR(VLOOKUP($F68,'BuyNow Redirects'!$C$2:$J$37,7,FALSE),"")</f>
        <v>2025-02-22</v>
      </c>
      <c r="L68" s="23" t="str">
        <f>IFERROR(VLOOKUP($F68,'BuyNow Redirects'!$C$2:$J$37,8,FALSE),"")</f>
        <v>https://images.jonathan-harris.online/lights-camera-algorithm-ais-webp</v>
      </c>
      <c r="M68" s="6"/>
      <c r="N68" s="6"/>
      <c r="O68" s="6"/>
      <c r="P68" s="6"/>
      <c r="Q68" s="6"/>
      <c r="R68" s="6"/>
      <c r="S68" s="6"/>
      <c r="T68" s="6"/>
      <c r="U68" s="6"/>
      <c r="V68" s="6"/>
      <c r="W68" s="6"/>
      <c r="X68" s="6"/>
      <c r="Y68" s="6"/>
      <c r="Z68" s="6"/>
    </row>
    <row r="69" ht="21.0" customHeight="1">
      <c r="A69" s="15" t="s">
        <v>276</v>
      </c>
      <c r="B69" s="16" t="s">
        <v>277</v>
      </c>
      <c r="C69" s="17" t="str">
        <f t="shared" si="1"/>
        <v>https://jonathan-harris.online/ebooks/smart-buildings-ai-powered-efficiency-and-sustainability/</v>
      </c>
      <c r="D69" s="18" t="s">
        <v>278</v>
      </c>
      <c r="E69" s="18" t="s">
        <v>148</v>
      </c>
      <c r="F69" s="19" t="s">
        <v>279</v>
      </c>
      <c r="G69" s="19" t="s">
        <v>280</v>
      </c>
      <c r="H69" s="18"/>
      <c r="I69" s="18" t="str">
        <f>IFERROR(VLOOKUP($F69,'BuyNow Redirects'!$C$2:$J$37,5,FALSE),"")</f>
        <v>B0DMHBQVCR</v>
      </c>
      <c r="J69" s="20" t="str">
        <f>IFERROR(VLOOKUP($F69,'BuyNow Redirects'!$C$2:$J$37,6,FALSE),"")</f>
        <v>345</v>
      </c>
      <c r="K69" s="21" t="str">
        <f>IFERROR(VLOOKUP($F69,'BuyNow Redirects'!$C$2:$J$37,7,FALSE),"")</f>
        <v>2024-11-08</v>
      </c>
      <c r="L69" s="22" t="str">
        <f>IFERROR(VLOOKUP($F69,'BuyNow Redirects'!$C$2:$J$37,8,FALSE),"")</f>
        <v>https://images.jonathan-harris.online/ai-smart-buildings-webp</v>
      </c>
      <c r="M69" s="6"/>
      <c r="N69" s="6"/>
      <c r="O69" s="6"/>
      <c r="P69" s="6"/>
      <c r="Q69" s="6"/>
      <c r="R69" s="6"/>
      <c r="S69" s="6"/>
      <c r="T69" s="6"/>
      <c r="U69" s="6"/>
      <c r="V69" s="6"/>
      <c r="W69" s="6"/>
      <c r="X69" s="6"/>
      <c r="Y69" s="6"/>
      <c r="Z69" s="6"/>
    </row>
    <row r="70" ht="21.0" customHeight="1">
      <c r="A70" s="8" t="s">
        <v>281</v>
      </c>
      <c r="B70" s="9" t="s">
        <v>282</v>
      </c>
      <c r="C70" s="10" t="str">
        <f t="shared" si="1"/>
        <v>https://jonathan-harris.online/ebooks/the-ai-behind-your-feed-personalization-moderation-and-the-future-of-social-media/</v>
      </c>
      <c r="D70" s="11" t="s">
        <v>283</v>
      </c>
      <c r="E70" s="11" t="s">
        <v>148</v>
      </c>
      <c r="F70" s="12" t="s">
        <v>284</v>
      </c>
      <c r="G70" s="12" t="s">
        <v>285</v>
      </c>
      <c r="H70" s="11"/>
      <c r="I70" s="11" t="str">
        <f>IFERROR(VLOOKUP($F70,'BuyNow Redirects'!$C$2:$J$37,5,FALSE),"")</f>
        <v>B0DY12Z1SP</v>
      </c>
      <c r="J70" s="13" t="str">
        <f>IFERROR(VLOOKUP($F70,'BuyNow Redirects'!$C$2:$J$37,6,FALSE),"")</f>
        <v>334</v>
      </c>
      <c r="K70" s="14" t="str">
        <f>IFERROR(VLOOKUP($F70,'BuyNow Redirects'!$C$2:$J$37,7,FALSE),"")</f>
        <v>2025-02-20</v>
      </c>
      <c r="L70" s="23" t="str">
        <f>IFERROR(VLOOKUP($F70,'BuyNow Redirects'!$C$2:$J$37,8,FALSE),"")</f>
        <v>https://images.jonathan-harris.online/ai-behind-your-feed-webp</v>
      </c>
      <c r="M70" s="6"/>
      <c r="N70" s="6"/>
      <c r="O70" s="6"/>
      <c r="P70" s="6"/>
      <c r="Q70" s="6"/>
      <c r="R70" s="6"/>
      <c r="S70" s="6"/>
      <c r="T70" s="6"/>
      <c r="U70" s="6"/>
      <c r="V70" s="6"/>
      <c r="W70" s="6"/>
      <c r="X70" s="6"/>
      <c r="Y70" s="6"/>
      <c r="Z70" s="6"/>
    </row>
    <row r="71" ht="21.0" customHeight="1">
      <c r="A71" s="15" t="s">
        <v>286</v>
      </c>
      <c r="B71" s="16" t="s">
        <v>287</v>
      </c>
      <c r="C71" s="17" t="str">
        <f t="shared" si="1"/>
        <v>https://jonathan-harris.online/ebooks/the-ai-music-revolution-creativity-controversy-and-collaboration/</v>
      </c>
      <c r="D71" s="18" t="s">
        <v>288</v>
      </c>
      <c r="E71" s="18" t="s">
        <v>148</v>
      </c>
      <c r="F71" s="19" t="s">
        <v>289</v>
      </c>
      <c r="G71" s="19" t="s">
        <v>290</v>
      </c>
      <c r="H71" s="18"/>
      <c r="I71" s="18" t="str">
        <f>IFERROR(VLOOKUP($F71,'BuyNow Redirects'!$C$2:$J$37,5,FALSE),"")</f>
        <v>B0DY666TZJ</v>
      </c>
      <c r="J71" s="20" t="str">
        <f>IFERROR(VLOOKUP($F71,'BuyNow Redirects'!$C$2:$J$37,6,FALSE),"")</f>
        <v>295</v>
      </c>
      <c r="K71" s="21" t="str">
        <f>IFERROR(VLOOKUP($F71,'BuyNow Redirects'!$C$2:$J$37,7,FALSE),"")</f>
        <v>2025-02-22</v>
      </c>
      <c r="L71" s="22" t="str">
        <f>IFERROR(VLOOKUP($F71,'BuyNow Redirects'!$C$2:$J$37,8,FALSE),"")</f>
        <v>https://images.jonathan-harris.online/ai-music-revolution-creativity-webp</v>
      </c>
      <c r="M71" s="6"/>
      <c r="N71" s="6"/>
      <c r="O71" s="6"/>
      <c r="P71" s="6"/>
      <c r="Q71" s="6"/>
      <c r="R71" s="6"/>
      <c r="S71" s="6"/>
      <c r="T71" s="6"/>
      <c r="U71" s="6"/>
      <c r="V71" s="6"/>
      <c r="W71" s="6"/>
      <c r="X71" s="6"/>
      <c r="Y71" s="6"/>
      <c r="Z71" s="6"/>
    </row>
    <row r="72" ht="21.0" customHeight="1">
      <c r="A72" s="8" t="s">
        <v>291</v>
      </c>
      <c r="B72" s="9" t="s">
        <v>292</v>
      </c>
      <c r="C72" s="10" t="str">
        <f t="shared" si="1"/>
        <v>https://jonathan-harris.online/ebooks/the-architects-of-ai-pioneers-breakthroughs-and-the-road-ahead/</v>
      </c>
      <c r="D72" s="11" t="s">
        <v>293</v>
      </c>
      <c r="E72" s="11" t="s">
        <v>148</v>
      </c>
      <c r="F72" s="12" t="s">
        <v>294</v>
      </c>
      <c r="G72" s="12" t="s">
        <v>295</v>
      </c>
      <c r="H72" s="11"/>
      <c r="I72" s="11" t="str">
        <f>IFERROR(VLOOKUP($F72,'BuyNow Redirects'!$C$2:$J$37,5,FALSE),"")</f>
        <v>B0DY5MRT6K</v>
      </c>
      <c r="J72" s="13" t="str">
        <f>IFERROR(VLOOKUP($F72,'BuyNow Redirects'!$C$2:$J$37,6,FALSE),"")</f>
        <v>302</v>
      </c>
      <c r="K72" s="14" t="str">
        <f>IFERROR(VLOOKUP($F72,'BuyNow Redirects'!$C$2:$J$37,7,FALSE),"")</f>
        <v>2025-02-22</v>
      </c>
      <c r="L72" s="23" t="str">
        <f>IFERROR(VLOOKUP($F72,'BuyNow Redirects'!$C$2:$J$37,8,FALSE),"")</f>
        <v>https://images.jonathan-harris.online/architects-ai_-pioneers_-breakthroughs_-webp</v>
      </c>
      <c r="M72" s="6"/>
      <c r="N72" s="6"/>
      <c r="O72" s="6"/>
      <c r="P72" s="6"/>
      <c r="Q72" s="6"/>
      <c r="R72" s="6"/>
      <c r="S72" s="6"/>
      <c r="T72" s="6"/>
      <c r="U72" s="6"/>
      <c r="V72" s="6"/>
      <c r="W72" s="6"/>
      <c r="X72" s="6"/>
      <c r="Y72" s="6"/>
      <c r="Z72" s="6"/>
    </row>
    <row r="73" ht="21.0" customHeight="1">
      <c r="A73" s="15" t="s">
        <v>296</v>
      </c>
      <c r="B73" s="16" t="s">
        <v>297</v>
      </c>
      <c r="C73" s="17" t="str">
        <f t="shared" si="1"/>
        <v>https://jonathan-harris.online/ebooks/the-artificial-intelligence-job-shift-navigating-the-future-of-work/</v>
      </c>
      <c r="D73" s="18" t="s">
        <v>298</v>
      </c>
      <c r="E73" s="18" t="s">
        <v>148</v>
      </c>
      <c r="F73" s="19" t="s">
        <v>299</v>
      </c>
      <c r="G73" s="19" t="s">
        <v>300</v>
      </c>
      <c r="H73" s="18"/>
      <c r="I73" s="18" t="str">
        <f>IFERROR(VLOOKUP($F73,'BuyNow Redirects'!$C$2:$J$37,5,FALSE),"")</f>
        <v>B0DMQHQTQH</v>
      </c>
      <c r="J73" s="20" t="str">
        <f>IFERROR(VLOOKUP($F73,'BuyNow Redirects'!$C$2:$J$37,6,FALSE),"")</f>
        <v>315</v>
      </c>
      <c r="K73" s="21" t="str">
        <f>IFERROR(VLOOKUP($F73,'BuyNow Redirects'!$C$2:$J$37,7,FALSE),"")</f>
        <v>2024-11-11</v>
      </c>
      <c r="L73" s="22" t="str">
        <f>IFERROR(VLOOKUP($F73,'BuyNow Redirects'!$C$2:$J$37,8,FALSE),"")</f>
        <v>https://images.jonathan-harris.online/artificial-intelligence-job-shift-webp</v>
      </c>
      <c r="M73" s="6"/>
      <c r="N73" s="6"/>
      <c r="O73" s="6"/>
      <c r="P73" s="6"/>
      <c r="Q73" s="6"/>
      <c r="R73" s="6"/>
      <c r="S73" s="6"/>
      <c r="T73" s="6"/>
      <c r="U73" s="6"/>
      <c r="V73" s="6"/>
      <c r="W73" s="6"/>
      <c r="X73" s="6"/>
      <c r="Y73" s="6"/>
      <c r="Z73" s="6"/>
    </row>
    <row r="74" ht="21.0" customHeight="1">
      <c r="A74" s="8" t="s">
        <v>301</v>
      </c>
      <c r="B74" s="9" t="s">
        <v>302</v>
      </c>
      <c r="C74" s="10" t="str">
        <f t="shared" si="1"/>
        <v>https://jonathan-harris.online/ebooks/the-artificial-intelligence-revolution-from-algorithms-to-consciousness/</v>
      </c>
      <c r="D74" s="11" t="s">
        <v>303</v>
      </c>
      <c r="E74" s="11" t="s">
        <v>148</v>
      </c>
      <c r="F74" s="12" t="s">
        <v>304</v>
      </c>
      <c r="G74" s="12" t="s">
        <v>305</v>
      </c>
      <c r="H74" s="11"/>
      <c r="I74" s="11" t="str">
        <f>IFERROR(VLOOKUP($F74,'BuyNow Redirects'!$C$2:$J$37,5,FALSE),"")</f>
        <v>B0DMYF3YH3</v>
      </c>
      <c r="J74" s="13" t="str">
        <f>IFERROR(VLOOKUP($F74,'BuyNow Redirects'!$C$2:$J$37,6,FALSE),"")</f>
        <v>14</v>
      </c>
      <c r="K74" s="14" t="str">
        <f>IFERROR(VLOOKUP($F74,'BuyNow Redirects'!$C$2:$J$37,7,FALSE),"")</f>
        <v>2024-11-13</v>
      </c>
      <c r="L74" s="23" t="str">
        <f>IFERROR(VLOOKUP($F74,'BuyNow Redirects'!$C$2:$J$37,8,FALSE),"")</f>
        <v>https://images.jonathan-harris.online/artificial-intelligence-revolution-algorithms-webp</v>
      </c>
      <c r="M74" s="6"/>
      <c r="N74" s="6"/>
      <c r="O74" s="6"/>
      <c r="P74" s="6"/>
      <c r="Q74" s="6"/>
      <c r="R74" s="6"/>
      <c r="S74" s="6"/>
      <c r="T74" s="6"/>
      <c r="U74" s="6"/>
      <c r="V74" s="6"/>
      <c r="W74" s="6"/>
      <c r="X74" s="6"/>
      <c r="Y74" s="6"/>
      <c r="Z74" s="6"/>
    </row>
    <row r="75" ht="21.0" customHeight="1">
      <c r="A75" s="15" t="s">
        <v>306</v>
      </c>
      <c r="B75" s="16" t="s">
        <v>307</v>
      </c>
      <c r="C75" s="17" t="str">
        <f t="shared" si="1"/>
        <v>https://jonathan-harris.online/ebooks/the-autonomous-revolution-artificial-intelligence-and-the-future-of-the-automotive-industry/</v>
      </c>
      <c r="D75" s="18" t="s">
        <v>308</v>
      </c>
      <c r="E75" s="18" t="s">
        <v>148</v>
      </c>
      <c r="F75" s="19" t="s">
        <v>309</v>
      </c>
      <c r="G75" s="19" t="s">
        <v>310</v>
      </c>
      <c r="H75" s="18"/>
      <c r="I75" s="18" t="str">
        <f>IFERROR(VLOOKUP($F75,'BuyNow Redirects'!$C$2:$J$37,5,FALSE),"")</f>
        <v>B0DMYQV1LY</v>
      </c>
      <c r="J75" s="20" t="str">
        <f>IFERROR(VLOOKUP($F75,'BuyNow Redirects'!$C$2:$J$37,6,FALSE),"")</f>
        <v>324</v>
      </c>
      <c r="K75" s="21" t="str">
        <f>IFERROR(VLOOKUP($F75,'BuyNow Redirects'!$C$2:$J$37,7,FALSE),"")</f>
        <v>2024-11-13</v>
      </c>
      <c r="L75" s="22" t="str">
        <f>IFERROR(VLOOKUP($F75,'BuyNow Redirects'!$C$2:$J$37,8,FALSE),"")</f>
        <v>https://images.jonathan-harris.online/autonomous-revolution-artificial-intelligence-webp</v>
      </c>
      <c r="M75" s="6"/>
      <c r="N75" s="6"/>
      <c r="O75" s="6"/>
      <c r="P75" s="6"/>
      <c r="Q75" s="6"/>
      <c r="R75" s="6"/>
      <c r="S75" s="6"/>
      <c r="T75" s="6"/>
      <c r="U75" s="6"/>
      <c r="V75" s="6"/>
      <c r="W75" s="6"/>
      <c r="X75" s="6"/>
      <c r="Y75" s="6"/>
      <c r="Z75" s="6"/>
    </row>
    <row r="76" ht="21.0" customHeight="1">
      <c r="A76" s="8" t="s">
        <v>311</v>
      </c>
      <c r="B76" s="9" t="s">
        <v>312</v>
      </c>
      <c r="C76" s="10" t="str">
        <f t="shared" si="1"/>
        <v>https://jonathan-harris.online/ebooks/the-dumbening-how-ai-is-reshaping-our-minds/</v>
      </c>
      <c r="D76" s="11" t="s">
        <v>313</v>
      </c>
      <c r="E76" s="11" t="s">
        <v>148</v>
      </c>
      <c r="F76" s="12" t="s">
        <v>314</v>
      </c>
      <c r="G76" s="12" t="s">
        <v>315</v>
      </c>
      <c r="H76" s="11"/>
      <c r="I76" s="11" t="str">
        <f>IFERROR(VLOOKUP($F76,'BuyNow Redirects'!$C$2:$J$37,5,FALSE),"")</f>
        <v>B0DMMVN17Z</v>
      </c>
      <c r="J76" s="13" t="str">
        <f>IFERROR(VLOOKUP($F76,'BuyNow Redirects'!$C$2:$J$37,6,FALSE),"")</f>
        <v>277</v>
      </c>
      <c r="K76" s="14" t="str">
        <f>IFERROR(VLOOKUP($F76,'BuyNow Redirects'!$C$2:$J$37,7,FALSE),"")</f>
        <v>2024-11-10</v>
      </c>
      <c r="L76" s="23" t="str">
        <f>IFERROR(VLOOKUP($F76,'BuyNow Redirects'!$C$2:$J$37,8,FALSE),"")</f>
        <v>https://images.jonathan-harris.online/ai-dumbening-reshaping-our-webp</v>
      </c>
      <c r="M76" s="6"/>
      <c r="N76" s="6"/>
      <c r="O76" s="6"/>
      <c r="P76" s="6"/>
      <c r="Q76" s="6"/>
      <c r="R76" s="6"/>
      <c r="S76" s="6"/>
      <c r="T76" s="6"/>
      <c r="U76" s="6"/>
      <c r="V76" s="6"/>
      <c r="W76" s="6"/>
      <c r="X76" s="6"/>
      <c r="Y76" s="6"/>
      <c r="Z76" s="6"/>
    </row>
    <row r="77" ht="21.0" customHeight="1">
      <c r="A77" s="15" t="s">
        <v>316</v>
      </c>
      <c r="B77" s="16" t="s">
        <v>317</v>
      </c>
      <c r="C77" s="17" t="str">
        <f t="shared" si="1"/>
        <v>https://jonathan-harris.online/ebooks/the-future-of-government-leveraging-ai-to-enhance-services-and-safeguard-information/</v>
      </c>
      <c r="D77" s="18" t="s">
        <v>318</v>
      </c>
      <c r="E77" s="18" t="s">
        <v>148</v>
      </c>
      <c r="F77" s="19" t="s">
        <v>319</v>
      </c>
      <c r="G77" s="19" t="s">
        <v>320</v>
      </c>
      <c r="H77" s="18"/>
      <c r="I77" s="18" t="str">
        <f>IFERROR(VLOOKUP($F77,'BuyNow Redirects'!$C$2:$J$37,5,FALSE),"")</f>
        <v>B0DM74CRSD</v>
      </c>
      <c r="J77" s="20" t="str">
        <f>IFERROR(VLOOKUP($F77,'BuyNow Redirects'!$C$2:$J$37,6,FALSE),"")</f>
        <v>328</v>
      </c>
      <c r="K77" s="21" t="str">
        <f>IFERROR(VLOOKUP($F77,'BuyNow Redirects'!$C$2:$J$37,7,FALSE),"")</f>
        <v>2024-11-05</v>
      </c>
      <c r="L77" s="22" t="str">
        <f>IFERROR(VLOOKUP($F77,'BuyNow Redirects'!$C$2:$J$37,8,FALSE),"")</f>
        <v>https://images.jonathan-harris.online/ai-government-enhance-services-webp</v>
      </c>
      <c r="M77" s="6"/>
      <c r="N77" s="6"/>
      <c r="O77" s="6"/>
      <c r="P77" s="6"/>
      <c r="Q77" s="6"/>
      <c r="R77" s="6"/>
      <c r="S77" s="6"/>
      <c r="T77" s="6"/>
      <c r="U77" s="6"/>
      <c r="V77" s="6"/>
      <c r="W77" s="6"/>
      <c r="X77" s="6"/>
      <c r="Y77" s="6"/>
      <c r="Z77" s="6"/>
    </row>
    <row r="78" ht="21.0" customHeight="1">
      <c r="A78" s="8" t="s">
        <v>321</v>
      </c>
      <c r="B78" s="9" t="s">
        <v>322</v>
      </c>
      <c r="C78" s="10" t="str">
        <f t="shared" si="1"/>
        <v>https://jonathan-harris.online/ebooks/the-house-always-knows-ai-gambling-and-the-ethics-of-personalized-gaming/</v>
      </c>
      <c r="D78" s="11" t="s">
        <v>323</v>
      </c>
      <c r="E78" s="11" t="s">
        <v>148</v>
      </c>
      <c r="F78" s="12" t="s">
        <v>324</v>
      </c>
      <c r="G78" s="12" t="s">
        <v>325</v>
      </c>
      <c r="H78" s="11"/>
      <c r="I78" s="11" t="str">
        <f>IFERROR(VLOOKUP($F78,'BuyNow Redirects'!$C$2:$J$37,5,FALSE),"")</f>
        <v>B0DY4PSD8Z</v>
      </c>
      <c r="J78" s="13" t="str">
        <f>IFERROR(VLOOKUP($F78,'BuyNow Redirects'!$C$2:$J$37,6,FALSE),"")</f>
        <v>327</v>
      </c>
      <c r="K78" s="14" t="str">
        <f>IFERROR(VLOOKUP($F78,'BuyNow Redirects'!$C$2:$J$37,7,FALSE),"")</f>
        <v>2025-02-21</v>
      </c>
      <c r="L78" s="23" t="str">
        <f>IFERROR(VLOOKUP($F78,'BuyNow Redirects'!$C$2:$J$37,8,FALSE),"")</f>
        <v>https://images.jonathan-harris.online/ai-house-always-knows-webp</v>
      </c>
      <c r="M78" s="6"/>
      <c r="N78" s="6"/>
      <c r="O78" s="6"/>
      <c r="P78" s="6"/>
      <c r="Q78" s="6"/>
      <c r="R78" s="6"/>
      <c r="S78" s="6"/>
      <c r="T78" s="6"/>
      <c r="U78" s="6"/>
      <c r="V78" s="6"/>
      <c r="W78" s="6"/>
      <c r="X78" s="6"/>
      <c r="Y78" s="6"/>
      <c r="Z78" s="6"/>
    </row>
    <row r="79" ht="21.0" customHeight="1">
      <c r="A79" s="15" t="s">
        <v>326</v>
      </c>
      <c r="B79" s="16" t="s">
        <v>327</v>
      </c>
      <c r="C79" s="17" t="str">
        <f t="shared" si="1"/>
        <v>https://jonathan-harris.online/topics/generative-ai/</v>
      </c>
      <c r="D79" s="18" t="s">
        <v>328</v>
      </c>
      <c r="E79" s="18" t="s">
        <v>36</v>
      </c>
      <c r="F79" s="19"/>
      <c r="G79" s="19"/>
      <c r="H79" s="18"/>
      <c r="I79" s="18" t="str">
        <f>IFERROR(VLOOKUP($F79,'BuyNow Redirects'!$C$2:$J$37,5,FALSE),"")</f>
        <v/>
      </c>
      <c r="J79" s="20" t="str">
        <f>IFERROR(VLOOKUP($F79,'BuyNow Redirects'!$C$2:$J$37,6,FALSE),"")</f>
        <v/>
      </c>
      <c r="K79" s="21" t="str">
        <f>IFERROR(VLOOKUP($F79,'BuyNow Redirects'!$C$2:$J$37,7,FALSE),"")</f>
        <v/>
      </c>
      <c r="L79" s="19" t="str">
        <f>IFERROR(VLOOKUP($F79,'BuyNow Redirects'!$C$2:$J$37,8,FALSE),"")</f>
        <v/>
      </c>
      <c r="M79" s="6"/>
      <c r="N79" s="6"/>
      <c r="O79" s="6"/>
      <c r="P79" s="6"/>
      <c r="Q79" s="6"/>
      <c r="R79" s="6"/>
      <c r="S79" s="6"/>
      <c r="T79" s="6"/>
      <c r="U79" s="6"/>
      <c r="V79" s="6"/>
      <c r="W79" s="6"/>
      <c r="X79" s="6"/>
      <c r="Y79" s="6"/>
      <c r="Z79" s="6"/>
    </row>
    <row r="80" ht="21.0" customHeight="1">
      <c r="A80" s="8" t="s">
        <v>329</v>
      </c>
      <c r="B80" s="9" t="s">
        <v>330</v>
      </c>
      <c r="C80" s="10" t="str">
        <f t="shared" si="1"/>
        <v>https://jonathan-harris.online/glossary/</v>
      </c>
      <c r="D80" s="11" t="s">
        <v>331</v>
      </c>
      <c r="E80" s="11" t="s">
        <v>36</v>
      </c>
      <c r="F80" s="12"/>
      <c r="G80" s="12"/>
      <c r="H80" s="11"/>
      <c r="I80" s="11" t="str">
        <f>IFERROR(VLOOKUP($F80,'BuyNow Redirects'!$C$2:$J$37,5,FALSE),"")</f>
        <v/>
      </c>
      <c r="J80" s="13" t="str">
        <f>IFERROR(VLOOKUP($F80,'BuyNow Redirects'!$C$2:$J$37,6,FALSE),"")</f>
        <v/>
      </c>
      <c r="K80" s="14" t="str">
        <f>IFERROR(VLOOKUP($F80,'BuyNow Redirects'!$C$2:$J$37,7,FALSE),"")</f>
        <v/>
      </c>
      <c r="L80" s="12" t="str">
        <f>IFERROR(VLOOKUP($F80,'BuyNow Redirects'!$C$2:$J$37,8,FALSE),"")</f>
        <v/>
      </c>
      <c r="M80" s="6"/>
      <c r="N80" s="6"/>
      <c r="O80" s="6"/>
      <c r="P80" s="6"/>
      <c r="Q80" s="6"/>
      <c r="R80" s="6"/>
      <c r="S80" s="6"/>
      <c r="T80" s="6"/>
      <c r="U80" s="6"/>
      <c r="V80" s="6"/>
      <c r="W80" s="6"/>
      <c r="X80" s="6"/>
      <c r="Y80" s="6"/>
      <c r="Z80" s="6"/>
    </row>
    <row r="81" ht="21.0" customHeight="1">
      <c r="A81" s="15" t="s">
        <v>332</v>
      </c>
      <c r="B81" s="16" t="s">
        <v>333</v>
      </c>
      <c r="C81" s="17" t="str">
        <f t="shared" si="1"/>
        <v>https://jonathan-harris.online/newsletter/</v>
      </c>
      <c r="D81" s="18" t="s">
        <v>334</v>
      </c>
      <c r="E81" s="18" t="s">
        <v>36</v>
      </c>
      <c r="F81" s="19"/>
      <c r="G81" s="19"/>
      <c r="H81" s="18"/>
      <c r="I81" s="18" t="str">
        <f>IFERROR(VLOOKUP($F81,'BuyNow Redirects'!$C$2:$J$37,5,FALSE),"")</f>
        <v/>
      </c>
      <c r="J81" s="20" t="str">
        <f>IFERROR(VLOOKUP($F81,'BuyNow Redirects'!$C$2:$J$37,6,FALSE),"")</f>
        <v/>
      </c>
      <c r="K81" s="21" t="str">
        <f>IFERROR(VLOOKUP($F81,'BuyNow Redirects'!$C$2:$J$37,7,FALSE),"")</f>
        <v/>
      </c>
      <c r="L81" s="19" t="str">
        <f>IFERROR(VLOOKUP($F81,'BuyNow Redirects'!$C$2:$J$37,8,FALSE),"")</f>
        <v/>
      </c>
      <c r="M81" s="6"/>
      <c r="N81" s="6"/>
      <c r="O81" s="6"/>
      <c r="P81" s="6"/>
      <c r="Q81" s="6"/>
      <c r="R81" s="6"/>
      <c r="S81" s="6"/>
      <c r="T81" s="6"/>
      <c r="U81" s="6"/>
      <c r="V81" s="6"/>
      <c r="W81" s="6"/>
      <c r="X81" s="6"/>
      <c r="Y81" s="6"/>
      <c r="Z81" s="6"/>
    </row>
    <row r="82" ht="21.0" customHeight="1">
      <c r="A82" s="8" t="s">
        <v>335</v>
      </c>
      <c r="B82" s="9" t="s">
        <v>336</v>
      </c>
      <c r="C82" s="10" t="str">
        <f t="shared" si="1"/>
        <v>https://jonathan-harris.online/podcast/</v>
      </c>
      <c r="D82" s="11" t="s">
        <v>337</v>
      </c>
      <c r="E82" s="11" t="s">
        <v>36</v>
      </c>
      <c r="F82" s="12"/>
      <c r="G82" s="12"/>
      <c r="H82" s="18"/>
      <c r="I82" s="11" t="str">
        <f>IFERROR(VLOOKUP($F82,'BuyNow Redirects'!$C$2:$J$37,5,FALSE),"")</f>
        <v/>
      </c>
      <c r="J82" s="13" t="str">
        <f>IFERROR(VLOOKUP($F82,'BuyNow Redirects'!$C$2:$J$37,6,FALSE),"")</f>
        <v/>
      </c>
      <c r="K82" s="14" t="str">
        <f>IFERROR(VLOOKUP($F82,'BuyNow Redirects'!$C$2:$J$37,7,FALSE),"")</f>
        <v/>
      </c>
      <c r="L82" s="12" t="str">
        <f>IFERROR(VLOOKUP($F82,'BuyNow Redirects'!$C$2:$J$37,8,FALSE),"")</f>
        <v/>
      </c>
      <c r="M82" s="6"/>
      <c r="N82" s="6"/>
      <c r="O82" s="6"/>
      <c r="P82" s="6"/>
      <c r="Q82" s="6"/>
      <c r="R82" s="6"/>
      <c r="S82" s="6"/>
      <c r="T82" s="6"/>
      <c r="U82" s="6"/>
      <c r="V82" s="6"/>
      <c r="W82" s="6"/>
      <c r="X82" s="6"/>
      <c r="Y82" s="6"/>
      <c r="Z82" s="6"/>
    </row>
    <row r="83" ht="21.0" customHeight="1">
      <c r="A83" s="15" t="s">
        <v>338</v>
      </c>
      <c r="B83" s="16" t="s">
        <v>339</v>
      </c>
      <c r="C83" s="17" t="str">
        <f t="shared" si="1"/>
        <v>https://jonathan-harris.online/privacy-policy/</v>
      </c>
      <c r="D83" s="18" t="s">
        <v>340</v>
      </c>
      <c r="E83" s="18" t="s">
        <v>36</v>
      </c>
      <c r="F83" s="19"/>
      <c r="G83" s="19"/>
      <c r="H83" s="18"/>
      <c r="I83" s="18" t="str">
        <f>IFERROR(VLOOKUP($F83,'BuyNow Redirects'!$C$2:$J$37,5,FALSE),"")</f>
        <v/>
      </c>
      <c r="J83" s="20" t="str">
        <f>IFERROR(VLOOKUP($F83,'BuyNow Redirects'!$C$2:$J$37,6,FALSE),"")</f>
        <v/>
      </c>
      <c r="K83" s="21" t="str">
        <f>IFERROR(VLOOKUP($F83,'BuyNow Redirects'!$C$2:$J$37,7,FALSE),"")</f>
        <v/>
      </c>
      <c r="L83" s="19" t="str">
        <f>IFERROR(VLOOKUP($F83,'BuyNow Redirects'!$C$2:$J$37,8,FALSE),"")</f>
        <v/>
      </c>
      <c r="M83" s="6"/>
      <c r="N83" s="6"/>
      <c r="O83" s="6"/>
      <c r="P83" s="6"/>
      <c r="Q83" s="6"/>
      <c r="R83" s="6"/>
      <c r="S83" s="6"/>
      <c r="T83" s="6"/>
      <c r="U83" s="6"/>
      <c r="V83" s="6"/>
      <c r="W83" s="6"/>
      <c r="X83" s="6"/>
      <c r="Y83" s="6"/>
      <c r="Z83" s="6"/>
    </row>
    <row r="84" ht="21.0" customHeight="1">
      <c r="A84" s="8" t="s">
        <v>341</v>
      </c>
      <c r="B84" s="9" t="s">
        <v>342</v>
      </c>
      <c r="C84" s="10" t="str">
        <f t="shared" si="1"/>
        <v>https://jonathan-harris.online/topics/robotics-automation/</v>
      </c>
      <c r="D84" s="11" t="s">
        <v>343</v>
      </c>
      <c r="E84" s="11" t="s">
        <v>36</v>
      </c>
      <c r="F84" s="12"/>
      <c r="G84" s="12"/>
      <c r="H84" s="11"/>
      <c r="I84" s="11" t="str">
        <f>IFERROR(VLOOKUP($F84,'BuyNow Redirects'!$C$2:$J$37,5,FALSE),"")</f>
        <v/>
      </c>
      <c r="J84" s="13" t="str">
        <f>IFERROR(VLOOKUP($F84,'BuyNow Redirects'!$C$2:$J$37,6,FALSE),"")</f>
        <v/>
      </c>
      <c r="K84" s="14" t="str">
        <f>IFERROR(VLOOKUP($F84,'BuyNow Redirects'!$C$2:$J$37,7,FALSE),"")</f>
        <v/>
      </c>
      <c r="L84" s="12" t="str">
        <f>IFERROR(VLOOKUP($F84,'BuyNow Redirects'!$C$2:$J$37,8,FALSE),"")</f>
        <v/>
      </c>
      <c r="M84" s="6"/>
      <c r="N84" s="6"/>
      <c r="O84" s="6"/>
      <c r="P84" s="6"/>
      <c r="Q84" s="6"/>
      <c r="R84" s="6"/>
      <c r="S84" s="6"/>
      <c r="T84" s="6"/>
      <c r="U84" s="6"/>
      <c r="V84" s="6"/>
      <c r="W84" s="6"/>
      <c r="X84" s="6"/>
      <c r="Y84" s="6"/>
      <c r="Z84" s="6"/>
    </row>
    <row r="85" ht="21.0" customHeight="1">
      <c r="A85" s="15" t="s">
        <v>344</v>
      </c>
      <c r="B85" s="16" t="s">
        <v>345</v>
      </c>
      <c r="C85" s="17" t="str">
        <f t="shared" si="1"/>
        <v>https://jonathan-harris.online/terms-of-use/</v>
      </c>
      <c r="D85" s="18" t="s">
        <v>346</v>
      </c>
      <c r="E85" s="18" t="s">
        <v>36</v>
      </c>
      <c r="F85" s="19"/>
      <c r="G85" s="19"/>
      <c r="H85" s="18"/>
      <c r="I85" s="18" t="str">
        <f>IFERROR(VLOOKUP($F85,'BuyNow Redirects'!$C$2:$J$37,5,FALSE),"")</f>
        <v/>
      </c>
      <c r="J85" s="20" t="str">
        <f>IFERROR(VLOOKUP($F85,'BuyNow Redirects'!$C$2:$J$37,6,FALSE),"")</f>
        <v/>
      </c>
      <c r="K85" s="21" t="str">
        <f>IFERROR(VLOOKUP($F85,'BuyNow Redirects'!$C$2:$J$37,7,FALSE),"")</f>
        <v/>
      </c>
      <c r="L85" s="19" t="str">
        <f>IFERROR(VLOOKUP($F85,'BuyNow Redirects'!$C$2:$J$37,8,FALSE),"")</f>
        <v/>
      </c>
      <c r="M85" s="6"/>
      <c r="N85" s="6"/>
      <c r="O85" s="6"/>
      <c r="P85" s="6"/>
      <c r="Q85" s="6"/>
      <c r="R85" s="6"/>
      <c r="S85" s="6"/>
      <c r="T85" s="6"/>
      <c r="U85" s="6"/>
      <c r="V85" s="6"/>
      <c r="W85" s="6"/>
      <c r="X85" s="6"/>
      <c r="Y85" s="6"/>
      <c r="Z85" s="6"/>
    </row>
    <row r="86" ht="21.0" customHeight="1">
      <c r="A86" s="8" t="s">
        <v>347</v>
      </c>
      <c r="B86" s="9" t="s">
        <v>348</v>
      </c>
      <c r="C86" s="10" t="str">
        <f t="shared" si="1"/>
        <v>https://jonathan-harris.online/topics/</v>
      </c>
      <c r="D86" s="11" t="s">
        <v>349</v>
      </c>
      <c r="E86" s="11" t="s">
        <v>36</v>
      </c>
      <c r="F86" s="12"/>
      <c r="G86" s="12"/>
      <c r="H86" s="11"/>
      <c r="I86" s="11" t="str">
        <f>IFERROR(VLOOKUP($F86,'BuyNow Redirects'!$C$2:$J$37,5,FALSE),"")</f>
        <v/>
      </c>
      <c r="J86" s="13" t="str">
        <f>IFERROR(VLOOKUP($F86,'BuyNow Redirects'!$C$2:$J$37,6,FALSE),"")</f>
        <v/>
      </c>
      <c r="K86" s="14" t="str">
        <f>IFERROR(VLOOKUP($F86,'BuyNow Redirects'!$C$2:$J$37,7,FALSE),"")</f>
        <v/>
      </c>
      <c r="L86" s="12" t="str">
        <f>IFERROR(VLOOKUP($F86,'BuyNow Redirects'!$C$2:$J$37,8,FALSE),"")</f>
        <v/>
      </c>
      <c r="M86" s="6"/>
      <c r="N86" s="6"/>
      <c r="O86" s="6"/>
      <c r="P86" s="6"/>
      <c r="Q86" s="6"/>
      <c r="R86" s="6"/>
      <c r="S86" s="6"/>
      <c r="T86" s="6"/>
      <c r="U86" s="6"/>
      <c r="V86" s="6"/>
      <c r="W86" s="6"/>
      <c r="X86" s="6"/>
      <c r="Y86" s="6"/>
      <c r="Z86" s="6"/>
    </row>
    <row r="87" ht="21.0" customHeight="1">
      <c r="A87" s="6" t="s">
        <v>350</v>
      </c>
      <c r="B87" s="6" t="s">
        <v>351</v>
      </c>
      <c r="C87" s="6" t="s">
        <v>352</v>
      </c>
      <c r="D87" s="6" t="s">
        <v>353</v>
      </c>
      <c r="E87" s="6" t="s">
        <v>354</v>
      </c>
      <c r="F87" s="6"/>
      <c r="G87" s="6"/>
      <c r="H87" s="6"/>
      <c r="I87" s="6"/>
      <c r="J87" s="6"/>
      <c r="K87" s="6"/>
      <c r="L87" s="6"/>
      <c r="M87" s="6"/>
      <c r="N87" s="6"/>
      <c r="O87" s="6"/>
      <c r="P87" s="6"/>
      <c r="Q87" s="6"/>
      <c r="R87" s="6"/>
      <c r="S87" s="6"/>
      <c r="T87" s="6"/>
      <c r="U87" s="6"/>
      <c r="V87" s="6"/>
      <c r="W87" s="6"/>
      <c r="X87" s="6"/>
      <c r="Y87" s="6"/>
      <c r="Z87" s="6"/>
    </row>
    <row r="88" ht="21.0" customHeight="1">
      <c r="A88" s="6" t="s">
        <v>355</v>
      </c>
      <c r="B88" s="6" t="s">
        <v>356</v>
      </c>
      <c r="C88" s="6" t="s">
        <v>357</v>
      </c>
      <c r="D88" s="6" t="s">
        <v>163</v>
      </c>
      <c r="E88" s="6" t="s">
        <v>354</v>
      </c>
      <c r="F88" s="6"/>
      <c r="G88" s="6"/>
      <c r="H88" s="6"/>
      <c r="I88" s="6"/>
      <c r="J88" s="6"/>
      <c r="K88" s="6"/>
      <c r="L88" s="6"/>
      <c r="M88" s="6"/>
      <c r="N88" s="6"/>
      <c r="O88" s="6"/>
      <c r="P88" s="6"/>
      <c r="Q88" s="6"/>
      <c r="R88" s="6"/>
      <c r="S88" s="6"/>
      <c r="T88" s="6"/>
      <c r="U88" s="6"/>
      <c r="V88" s="6"/>
      <c r="W88" s="6"/>
      <c r="X88" s="6"/>
      <c r="Y88" s="6"/>
      <c r="Z88" s="6"/>
    </row>
    <row r="89" ht="21.0" customHeight="1">
      <c r="A89" s="6" t="s">
        <v>358</v>
      </c>
      <c r="B89" s="6" t="s">
        <v>359</v>
      </c>
      <c r="C89" s="6" t="s">
        <v>360</v>
      </c>
      <c r="D89" s="6" t="s">
        <v>361</v>
      </c>
      <c r="E89" s="6" t="s">
        <v>354</v>
      </c>
      <c r="F89" s="6"/>
      <c r="G89" s="6"/>
      <c r="H89" s="6"/>
      <c r="I89" s="6"/>
      <c r="J89" s="6"/>
      <c r="K89" s="6"/>
      <c r="L89" s="6"/>
      <c r="M89" s="6"/>
      <c r="N89" s="6"/>
      <c r="O89" s="6"/>
      <c r="P89" s="6"/>
      <c r="Q89" s="6"/>
      <c r="R89" s="6"/>
      <c r="S89" s="6"/>
      <c r="T89" s="6"/>
      <c r="U89" s="6"/>
      <c r="V89" s="6"/>
      <c r="W89" s="6"/>
      <c r="X89" s="6"/>
      <c r="Y89" s="6"/>
      <c r="Z89" s="6"/>
    </row>
    <row r="90" ht="21.0" customHeight="1">
      <c r="A90" s="6" t="s">
        <v>362</v>
      </c>
      <c r="B90" s="6" t="s">
        <v>363</v>
      </c>
      <c r="C90" s="6" t="s">
        <v>364</v>
      </c>
      <c r="D90" s="6" t="s">
        <v>365</v>
      </c>
      <c r="E90" s="6" t="s">
        <v>354</v>
      </c>
      <c r="F90" s="6"/>
      <c r="G90" s="6"/>
      <c r="H90" s="6"/>
      <c r="I90" s="6"/>
      <c r="J90" s="6"/>
      <c r="K90" s="6"/>
      <c r="L90" s="6"/>
      <c r="M90" s="6"/>
      <c r="N90" s="6"/>
      <c r="O90" s="6"/>
      <c r="P90" s="6"/>
      <c r="Q90" s="6"/>
      <c r="R90" s="6"/>
      <c r="S90" s="6"/>
      <c r="T90" s="6"/>
      <c r="U90" s="6"/>
      <c r="V90" s="6"/>
      <c r="W90" s="6"/>
      <c r="X90" s="6"/>
      <c r="Y90" s="6"/>
      <c r="Z90" s="6"/>
    </row>
    <row r="91" ht="21.0" customHeight="1">
      <c r="A91" s="6" t="s">
        <v>366</v>
      </c>
      <c r="B91" s="6" t="s">
        <v>367</v>
      </c>
      <c r="C91" s="6" t="s">
        <v>368</v>
      </c>
      <c r="D91" s="6" t="s">
        <v>369</v>
      </c>
      <c r="E91" s="6" t="s">
        <v>354</v>
      </c>
      <c r="F91" s="6"/>
      <c r="G91" s="6"/>
      <c r="H91" s="6"/>
      <c r="I91" s="6"/>
      <c r="J91" s="6"/>
      <c r="K91" s="6"/>
      <c r="L91" s="6"/>
      <c r="M91" s="6"/>
      <c r="N91" s="6"/>
      <c r="O91" s="6"/>
      <c r="P91" s="6"/>
      <c r="Q91" s="6"/>
      <c r="R91" s="6"/>
      <c r="S91" s="6"/>
      <c r="T91" s="6"/>
      <c r="U91" s="6"/>
      <c r="V91" s="6"/>
      <c r="W91" s="6"/>
      <c r="X91" s="6"/>
      <c r="Y91" s="6"/>
      <c r="Z91" s="6"/>
    </row>
    <row r="92" ht="21.0" customHeight="1">
      <c r="A92" s="6"/>
      <c r="B92" s="6"/>
      <c r="C92" s="6"/>
      <c r="D92" s="6"/>
      <c r="E92" s="6"/>
      <c r="F92" s="6"/>
      <c r="G92" s="6"/>
      <c r="H92" s="6"/>
      <c r="I92" s="6"/>
      <c r="J92" s="6"/>
      <c r="K92" s="6"/>
      <c r="L92" s="6"/>
      <c r="M92" s="6"/>
      <c r="N92" s="6"/>
      <c r="O92" s="6"/>
      <c r="P92" s="6"/>
      <c r="Q92" s="6"/>
      <c r="R92" s="6"/>
      <c r="S92" s="6"/>
      <c r="T92" s="6"/>
      <c r="U92" s="6"/>
      <c r="V92" s="6"/>
      <c r="W92" s="6"/>
      <c r="X92" s="6"/>
      <c r="Y92" s="6"/>
      <c r="Z92" s="6"/>
    </row>
    <row r="93" ht="21.0" customHeight="1">
      <c r="A93" s="6"/>
      <c r="B93" s="6"/>
      <c r="C93" s="6"/>
      <c r="D93" s="6"/>
      <c r="E93" s="6"/>
      <c r="F93" s="6"/>
      <c r="G93" s="6"/>
      <c r="H93" s="6"/>
      <c r="I93" s="6"/>
      <c r="J93" s="6"/>
      <c r="K93" s="6"/>
      <c r="L93" s="6"/>
      <c r="M93" s="6"/>
      <c r="N93" s="6"/>
      <c r="O93" s="6"/>
      <c r="P93" s="6"/>
      <c r="Q93" s="6"/>
      <c r="R93" s="6"/>
      <c r="S93" s="6"/>
      <c r="T93" s="6"/>
      <c r="U93" s="6"/>
      <c r="V93" s="6"/>
      <c r="W93" s="6"/>
      <c r="X93" s="6"/>
      <c r="Y93" s="6"/>
      <c r="Z93" s="6"/>
    </row>
    <row r="94" ht="21.0" customHeight="1">
      <c r="A94" s="6"/>
      <c r="B94" s="6"/>
      <c r="C94" s="6"/>
      <c r="D94" s="6"/>
      <c r="E94" s="6"/>
      <c r="F94" s="6"/>
      <c r="G94" s="6"/>
      <c r="H94" s="6"/>
      <c r="I94" s="6"/>
      <c r="J94" s="6"/>
      <c r="K94" s="6"/>
      <c r="L94" s="6"/>
      <c r="M94" s="6"/>
      <c r="N94" s="6"/>
      <c r="O94" s="6"/>
      <c r="P94" s="6"/>
      <c r="Q94" s="6"/>
      <c r="R94" s="6"/>
      <c r="S94" s="6"/>
      <c r="T94" s="6"/>
      <c r="U94" s="6"/>
      <c r="V94" s="6"/>
      <c r="W94" s="6"/>
      <c r="X94" s="6"/>
      <c r="Y94" s="6"/>
      <c r="Z94" s="6"/>
    </row>
    <row r="95" ht="21.0" customHeight="1">
      <c r="A95" s="6"/>
      <c r="B95" s="6"/>
      <c r="C95" s="6"/>
      <c r="D95" s="6"/>
      <c r="E95" s="6"/>
      <c r="F95" s="6"/>
      <c r="G95" s="6"/>
      <c r="H95" s="6"/>
      <c r="I95" s="6"/>
      <c r="J95" s="6"/>
      <c r="K95" s="6"/>
      <c r="L95" s="6"/>
      <c r="M95" s="6"/>
      <c r="N95" s="6"/>
      <c r="O95" s="6"/>
      <c r="P95" s="6"/>
      <c r="Q95" s="6"/>
      <c r="R95" s="6"/>
      <c r="S95" s="6"/>
      <c r="T95" s="6"/>
      <c r="U95" s="6"/>
      <c r="V95" s="6"/>
      <c r="W95" s="6"/>
      <c r="X95" s="6"/>
      <c r="Y95" s="6"/>
      <c r="Z95" s="6"/>
    </row>
    <row r="96" ht="21.0" customHeight="1">
      <c r="A96" s="6"/>
      <c r="B96" s="6"/>
      <c r="C96" s="6"/>
      <c r="D96" s="6"/>
      <c r="E96" s="6"/>
      <c r="F96" s="6"/>
      <c r="G96" s="6"/>
      <c r="H96" s="6"/>
      <c r="I96" s="6"/>
      <c r="J96" s="6"/>
      <c r="K96" s="6"/>
      <c r="L96" s="6"/>
      <c r="M96" s="6"/>
      <c r="N96" s="6"/>
      <c r="O96" s="6"/>
      <c r="P96" s="6"/>
      <c r="Q96" s="6"/>
      <c r="R96" s="6"/>
      <c r="S96" s="6"/>
      <c r="T96" s="6"/>
      <c r="U96" s="6"/>
      <c r="V96" s="6"/>
      <c r="W96" s="6"/>
      <c r="X96" s="6"/>
      <c r="Y96" s="6"/>
      <c r="Z96" s="6"/>
    </row>
    <row r="97" ht="21.0" customHeight="1">
      <c r="A97" s="6"/>
      <c r="B97" s="6"/>
      <c r="C97" s="6"/>
      <c r="D97" s="6"/>
      <c r="E97" s="6"/>
      <c r="F97" s="6"/>
      <c r="G97" s="6"/>
      <c r="H97" s="6"/>
      <c r="I97" s="6"/>
      <c r="J97" s="6"/>
      <c r="K97" s="6"/>
      <c r="L97" s="6"/>
      <c r="M97" s="6"/>
      <c r="N97" s="6"/>
      <c r="O97" s="6"/>
      <c r="P97" s="6"/>
      <c r="Q97" s="6"/>
      <c r="R97" s="6"/>
      <c r="S97" s="6"/>
      <c r="T97" s="6"/>
      <c r="U97" s="6"/>
      <c r="V97" s="6"/>
      <c r="W97" s="6"/>
      <c r="X97" s="6"/>
      <c r="Y97" s="6"/>
      <c r="Z97" s="6"/>
    </row>
    <row r="98" ht="21.0" customHeight="1">
      <c r="A98" s="6"/>
      <c r="B98" s="6"/>
      <c r="C98" s="6"/>
      <c r="D98" s="6"/>
      <c r="E98" s="6"/>
      <c r="F98" s="6"/>
      <c r="G98" s="6"/>
      <c r="H98" s="6"/>
      <c r="I98" s="6"/>
      <c r="J98" s="6"/>
      <c r="K98" s="6"/>
      <c r="L98" s="6"/>
      <c r="M98" s="6"/>
      <c r="N98" s="6"/>
      <c r="O98" s="6"/>
      <c r="P98" s="6"/>
      <c r="Q98" s="6"/>
      <c r="R98" s="6"/>
      <c r="S98" s="6"/>
      <c r="T98" s="6"/>
      <c r="U98" s="6"/>
      <c r="V98" s="6"/>
      <c r="W98" s="6"/>
      <c r="X98" s="6"/>
      <c r="Y98" s="6"/>
      <c r="Z98" s="6"/>
    </row>
    <row r="99" ht="21.0" customHeight="1">
      <c r="A99" s="6"/>
      <c r="B99" s="6"/>
      <c r="C99" s="6"/>
      <c r="D99" s="6"/>
      <c r="E99" s="6"/>
      <c r="F99" s="6"/>
      <c r="G99" s="6"/>
      <c r="H99" s="6"/>
      <c r="I99" s="6"/>
      <c r="J99" s="6"/>
      <c r="K99" s="6"/>
      <c r="L99" s="6"/>
      <c r="M99" s="6"/>
      <c r="N99" s="6"/>
      <c r="O99" s="6"/>
      <c r="P99" s="6"/>
      <c r="Q99" s="6"/>
      <c r="R99" s="6"/>
      <c r="S99" s="6"/>
      <c r="T99" s="6"/>
      <c r="U99" s="6"/>
      <c r="V99" s="6"/>
      <c r="W99" s="6"/>
      <c r="X99" s="6"/>
      <c r="Y99" s="6"/>
      <c r="Z99" s="6"/>
    </row>
    <row r="100" ht="21.0"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ht="21.0"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ht="21.0"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ht="21.0"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ht="21.0"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ht="21.0"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ht="21.0"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ht="15.7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ht="15.7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ht="15.7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ht="15.7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ht="15.7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ht="15.7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ht="15.7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ht="15.7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ht="15.7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ht="15.7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ht="15.7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ht="15.7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ht="15.7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ht="15.7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ht="15.7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ht="15.7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ht="15.7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ht="15.7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ht="15.7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ht="15.7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ht="15.7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ht="15.7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ht="15.7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ht="15.7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ht="15.7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ht="15.7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ht="15.7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ht="15.7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ht="15.7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ht="15.7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ht="15.7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ht="15.7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ht="15.7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ht="15.7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ht="15.7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ht="15.7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ht="15.7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ht="15.7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ht="15.7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ht="15.7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ht="15.7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ht="15.7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ht="15.7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ht="15.7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ht="15.7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ht="15.7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ht="15.7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ht="15.7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ht="15.7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ht="15.7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ht="15.7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ht="15.7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ht="15.7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ht="15.7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ht="15.7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ht="15.7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ht="15.7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ht="15.7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ht="15.7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ht="15.7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ht="15.7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ht="15.7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ht="15.7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ht="15.7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ht="15.7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ht="15.7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ht="15.7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ht="15.7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ht="15.7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ht="15.7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ht="15.7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ht="15.7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ht="15.7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ht="15.7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ht="15.7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ht="15.7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ht="15.7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ht="15.7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ht="15.7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ht="15.7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ht="15.7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ht="15.7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ht="15.7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ht="15.7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ht="15.7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ht="15.7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ht="15.7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ht="15.7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ht="15.7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ht="15.7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ht="15.7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ht="15.7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ht="15.7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ht="15.7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ht="15.7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ht="15.7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ht="15.7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ht="15.7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ht="15.7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ht="15.7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ht="15.7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ht="15.7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ht="15.7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ht="15.7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ht="15.7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ht="15.7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ht="15.7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ht="15.7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ht="15.7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ht="15.7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ht="15.7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ht="15.7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ht="15.7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ht="15.7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ht="15.7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ht="15.7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ht="15.7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ht="15.7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ht="15.7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ht="15.7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ht="15.7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ht="15.7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ht="15.7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ht="15.7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ht="15.7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ht="15.7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ht="15.7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ht="15.7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ht="15.7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ht="15.7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ht="15.7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ht="15.7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ht="15.7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ht="15.7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ht="15.7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ht="15.7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ht="15.7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ht="15.7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ht="15.7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ht="15.7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ht="15.7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ht="15.7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ht="15.7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ht="15.7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ht="15.7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ht="15.7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ht="15.7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ht="15.7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ht="15.7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ht="15.7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ht="15.7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ht="15.7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ht="15.7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ht="15.75"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ht="15.75"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ht="15.75"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ht="15.75"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ht="15.75"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ht="15.75"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ht="15.75"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ht="15.75"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ht="15.75"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ht="15.75"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ht="15.75"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ht="15.75"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ht="15.75"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ht="15.75"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ht="15.75"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ht="15.75"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ht="15.75"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ht="15.75"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ht="15.75"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ht="15.75"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ht="15.75"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ht="15.75"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ht="15.75"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ht="15.75"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ht="15.75"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ht="15.75"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ht="15.75"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ht="15.75"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ht="15.75"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ht="15.75"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ht="15.75"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ht="15.75"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ht="15.75"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ht="15.75"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ht="15.75"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ht="15.75"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ht="15.75"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ht="15.75"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5"/>
    <col customWidth="1" min="2" max="2" width="21.0"/>
    <col customWidth="1" min="3" max="6" width="7.63"/>
  </cols>
  <sheetData>
    <row r="1">
      <c r="A1" s="24" t="s">
        <v>370</v>
      </c>
      <c r="B1" s="25"/>
      <c r="C1" s="25"/>
      <c r="D1" s="26"/>
      <c r="E1" s="2"/>
      <c r="F1" s="2"/>
      <c r="G1" s="2"/>
      <c r="H1" s="2"/>
      <c r="I1" s="2"/>
      <c r="J1" s="2"/>
      <c r="K1" s="2"/>
      <c r="L1" s="2"/>
      <c r="M1" s="2"/>
      <c r="N1" s="2"/>
      <c r="O1" s="2"/>
      <c r="P1" s="2"/>
      <c r="Q1" s="2"/>
      <c r="R1" s="2"/>
      <c r="S1" s="2"/>
      <c r="T1" s="2"/>
      <c r="U1" s="2"/>
      <c r="V1" s="2"/>
    </row>
    <row r="2">
      <c r="A2" s="2"/>
      <c r="B2" s="2"/>
      <c r="C2" s="2"/>
      <c r="D2" s="2"/>
      <c r="E2" s="2"/>
      <c r="F2" s="2"/>
      <c r="G2" s="2"/>
      <c r="H2" s="2"/>
      <c r="I2" s="2"/>
      <c r="J2" s="2"/>
      <c r="K2" s="2"/>
      <c r="L2" s="2"/>
      <c r="M2" s="2"/>
      <c r="N2" s="2"/>
      <c r="O2" s="2"/>
      <c r="P2" s="2"/>
      <c r="Q2" s="2"/>
      <c r="R2" s="2"/>
      <c r="S2" s="2"/>
      <c r="T2" s="2"/>
      <c r="U2" s="2"/>
      <c r="V2" s="2"/>
    </row>
    <row r="3">
      <c r="A3" s="27" t="s">
        <v>15</v>
      </c>
      <c r="B3" s="28" t="str">
        <f>Pages!B1</f>
        <v>https://jonathan-harris.online</v>
      </c>
      <c r="C3" s="2"/>
      <c r="D3" s="2"/>
      <c r="E3" s="2"/>
      <c r="F3" s="2"/>
      <c r="G3" s="2"/>
      <c r="H3" s="2"/>
      <c r="I3" s="2"/>
      <c r="J3" s="2"/>
      <c r="K3" s="2"/>
      <c r="L3" s="2"/>
      <c r="M3" s="2"/>
      <c r="N3" s="2"/>
      <c r="O3" s="2"/>
      <c r="P3" s="2"/>
      <c r="Q3" s="2"/>
      <c r="R3" s="2"/>
      <c r="S3" s="2"/>
      <c r="T3" s="2"/>
      <c r="U3" s="2"/>
      <c r="V3" s="2"/>
    </row>
    <row r="4">
      <c r="A4" s="27" t="s">
        <v>371</v>
      </c>
      <c r="B4" s="29" t="str">
        <f>COUNTA(Pages!A6:A200)</f>
        <v>86</v>
      </c>
      <c r="C4" s="2"/>
      <c r="D4" s="2"/>
      <c r="E4" s="2"/>
      <c r="F4" s="2"/>
      <c r="G4" s="2"/>
      <c r="H4" s="2"/>
      <c r="I4" s="2"/>
      <c r="J4" s="2"/>
      <c r="K4" s="2"/>
      <c r="L4" s="2"/>
      <c r="M4" s="2"/>
      <c r="N4" s="2"/>
      <c r="O4" s="2"/>
      <c r="P4" s="2"/>
      <c r="Q4" s="2"/>
      <c r="R4" s="2"/>
      <c r="S4" s="2"/>
      <c r="T4" s="2"/>
      <c r="U4" s="2"/>
      <c r="V4" s="2"/>
    </row>
    <row r="5">
      <c r="A5" s="27" t="s">
        <v>372</v>
      </c>
      <c r="B5" s="29" t="str">
        <f>COUNTIF(Pages!E6:E200,"Canonical ebook route")+COUNTIF(Pages!E6:E200,"Redirect detail page")</f>
        <v>36</v>
      </c>
      <c r="C5" s="2"/>
      <c r="D5" s="2"/>
      <c r="E5" s="2"/>
      <c r="F5" s="2"/>
      <c r="G5" s="2"/>
      <c r="H5" s="2"/>
      <c r="I5" s="2"/>
      <c r="J5" s="2"/>
      <c r="K5" s="2"/>
      <c r="L5" s="2"/>
      <c r="M5" s="2"/>
      <c r="N5" s="2"/>
      <c r="O5" s="2"/>
      <c r="P5" s="2"/>
      <c r="Q5" s="2"/>
      <c r="R5" s="2"/>
      <c r="S5" s="2"/>
      <c r="T5" s="2"/>
      <c r="U5" s="2"/>
      <c r="V5" s="2"/>
    </row>
    <row r="6">
      <c r="A6" s="27" t="s">
        <v>373</v>
      </c>
      <c r="B6" s="29" t="str">
        <f>COUNTIF(Pages!F6:F200,"&lt;&gt;")</f>
        <v>36</v>
      </c>
      <c r="C6" s="2"/>
      <c r="D6" s="2"/>
      <c r="E6" s="2"/>
      <c r="F6" s="2"/>
      <c r="G6" s="2"/>
      <c r="H6" s="2"/>
      <c r="I6" s="2"/>
      <c r="J6" s="2"/>
      <c r="K6" s="2"/>
      <c r="L6" s="2"/>
      <c r="M6" s="2"/>
      <c r="N6" s="2"/>
      <c r="O6" s="2"/>
      <c r="P6" s="2"/>
      <c r="Q6" s="2"/>
      <c r="R6" s="2"/>
      <c r="S6" s="2"/>
      <c r="T6" s="2"/>
      <c r="U6" s="2"/>
      <c r="V6" s="2"/>
    </row>
    <row r="7">
      <c r="A7" s="27" t="s">
        <v>374</v>
      </c>
      <c r="B7" s="29" t="str">
        <f>COUNTIF('BuyNow Redirects'!G2:G100,"&lt;&gt;")</f>
        <v>36</v>
      </c>
      <c r="C7" s="2"/>
      <c r="D7" s="2"/>
      <c r="E7" s="2"/>
      <c r="F7" s="2"/>
      <c r="G7" s="2"/>
      <c r="H7" s="2"/>
      <c r="I7" s="2"/>
      <c r="J7" s="2"/>
      <c r="K7" s="2"/>
      <c r="L7" s="2"/>
      <c r="M7" s="2"/>
      <c r="N7" s="2"/>
      <c r="O7" s="2"/>
      <c r="P7" s="2"/>
      <c r="Q7" s="2"/>
      <c r="R7" s="2"/>
      <c r="S7" s="2"/>
      <c r="T7" s="2"/>
      <c r="U7" s="2"/>
      <c r="V7" s="2"/>
    </row>
    <row r="8">
      <c r="A8" s="27" t="s">
        <v>375</v>
      </c>
      <c r="B8" s="29" t="str">
        <f>COUNTA('BuyNow Redirects'!A2:A100)</f>
        <v>36</v>
      </c>
      <c r="C8" s="2"/>
      <c r="D8" s="2"/>
      <c r="E8" s="2"/>
      <c r="F8" s="2"/>
      <c r="G8" s="2"/>
      <c r="H8" s="2"/>
      <c r="I8" s="2"/>
      <c r="J8" s="2"/>
      <c r="K8" s="2"/>
      <c r="L8" s="2"/>
      <c r="M8" s="2"/>
      <c r="N8" s="2"/>
      <c r="O8" s="2"/>
      <c r="P8" s="2"/>
      <c r="Q8" s="2"/>
      <c r="R8" s="2"/>
      <c r="S8" s="2"/>
      <c r="T8" s="2"/>
      <c r="U8" s="2"/>
      <c r="V8" s="2"/>
    </row>
    <row r="9">
      <c r="A9" s="27" t="s">
        <v>376</v>
      </c>
      <c r="B9" s="29" t="str">
        <f>COUNTIF('BuyNow Redirects'!J2:J100,"&lt;&gt;")</f>
        <v>36</v>
      </c>
      <c r="C9" s="2"/>
      <c r="D9" s="2"/>
      <c r="E9" s="2"/>
      <c r="F9" s="2"/>
      <c r="G9" s="2"/>
      <c r="H9" s="2"/>
      <c r="I9" s="2"/>
      <c r="J9" s="2"/>
      <c r="K9" s="2"/>
      <c r="L9" s="2"/>
      <c r="M9" s="2"/>
      <c r="N9" s="2"/>
      <c r="O9" s="2"/>
      <c r="P9" s="2"/>
      <c r="Q9" s="2"/>
      <c r="R9" s="2"/>
      <c r="S9" s="2"/>
      <c r="T9" s="2"/>
      <c r="U9" s="2"/>
      <c r="V9" s="2"/>
    </row>
    <row r="10">
      <c r="A10" s="2"/>
      <c r="B10" s="2"/>
      <c r="C10" s="2"/>
      <c r="D10" s="2"/>
      <c r="E10" s="2"/>
      <c r="F10" s="2"/>
      <c r="G10" s="2"/>
      <c r="H10" s="2"/>
      <c r="I10" s="2"/>
      <c r="J10" s="2"/>
      <c r="K10" s="2"/>
      <c r="L10" s="2"/>
      <c r="M10" s="2"/>
      <c r="N10" s="2"/>
      <c r="O10" s="2"/>
      <c r="P10" s="2"/>
      <c r="Q10" s="2"/>
      <c r="R10" s="2"/>
      <c r="S10" s="2"/>
      <c r="T10" s="2"/>
      <c r="U10" s="2"/>
      <c r="V10" s="2"/>
    </row>
    <row r="11">
      <c r="A11" s="2"/>
      <c r="B11" s="2"/>
      <c r="C11" s="2"/>
      <c r="D11" s="2"/>
      <c r="E11" s="2"/>
      <c r="F11" s="2"/>
      <c r="G11" s="2"/>
      <c r="H11" s="2"/>
      <c r="I11" s="2"/>
      <c r="J11" s="2"/>
      <c r="K11" s="2"/>
      <c r="L11" s="2"/>
      <c r="M11" s="2"/>
      <c r="N11" s="2"/>
      <c r="O11" s="2"/>
      <c r="P11" s="2"/>
      <c r="Q11" s="2"/>
      <c r="R11" s="2"/>
      <c r="S11" s="2"/>
      <c r="T11" s="2"/>
      <c r="U11" s="2"/>
      <c r="V11" s="2"/>
    </row>
    <row r="12">
      <c r="A12" s="2"/>
      <c r="B12" s="2"/>
      <c r="C12" s="2"/>
      <c r="D12" s="2"/>
      <c r="E12" s="2"/>
      <c r="F12" s="2"/>
      <c r="G12" s="2"/>
      <c r="H12" s="2"/>
      <c r="I12" s="2"/>
      <c r="J12" s="2"/>
      <c r="K12" s="2"/>
      <c r="L12" s="2"/>
      <c r="M12" s="2"/>
      <c r="N12" s="2"/>
      <c r="O12" s="2"/>
      <c r="P12" s="2"/>
      <c r="Q12" s="2"/>
      <c r="R12" s="2"/>
      <c r="S12" s="2"/>
      <c r="T12" s="2"/>
      <c r="U12" s="2"/>
      <c r="V12" s="2"/>
    </row>
    <row r="13">
      <c r="A13" s="2"/>
      <c r="B13" s="2"/>
      <c r="C13" s="2"/>
      <c r="D13" s="2"/>
      <c r="E13" s="2"/>
      <c r="F13" s="2"/>
      <c r="G13" s="2"/>
      <c r="H13" s="2"/>
      <c r="I13" s="2"/>
      <c r="J13" s="2"/>
      <c r="K13" s="2"/>
      <c r="L13" s="2"/>
      <c r="M13" s="2"/>
      <c r="N13" s="2"/>
      <c r="O13" s="2"/>
      <c r="P13" s="2"/>
      <c r="Q13" s="2"/>
      <c r="R13" s="2"/>
      <c r="S13" s="2"/>
      <c r="T13" s="2"/>
      <c r="U13" s="2"/>
      <c r="V13" s="2"/>
    </row>
    <row r="14">
      <c r="A14" s="2"/>
      <c r="B14" s="2"/>
      <c r="C14" s="2"/>
      <c r="D14" s="2"/>
      <c r="E14" s="2"/>
      <c r="F14" s="2"/>
      <c r="G14" s="2"/>
      <c r="H14" s="2"/>
      <c r="I14" s="2"/>
      <c r="J14" s="2"/>
      <c r="K14" s="2"/>
      <c r="L14" s="2"/>
      <c r="M14" s="2"/>
      <c r="N14" s="2"/>
      <c r="O14" s="2"/>
      <c r="P14" s="2"/>
      <c r="Q14" s="2"/>
      <c r="R14" s="2"/>
      <c r="S14" s="2"/>
      <c r="T14" s="2"/>
      <c r="U14" s="2"/>
      <c r="V14" s="2"/>
    </row>
    <row r="15">
      <c r="A15" s="2"/>
      <c r="B15" s="2"/>
      <c r="C15" s="2"/>
      <c r="D15" s="2"/>
      <c r="E15" s="2"/>
      <c r="F15" s="2"/>
      <c r="G15" s="2"/>
      <c r="H15" s="2"/>
      <c r="I15" s="2"/>
      <c r="J15" s="2"/>
      <c r="K15" s="2"/>
      <c r="L15" s="2"/>
      <c r="M15" s="2"/>
      <c r="N15" s="2"/>
      <c r="O15" s="2"/>
      <c r="P15" s="2"/>
      <c r="Q15" s="2"/>
      <c r="R15" s="2"/>
      <c r="S15" s="2"/>
      <c r="T15" s="2"/>
      <c r="U15" s="2"/>
      <c r="V15" s="2"/>
    </row>
    <row r="16">
      <c r="A16" s="2"/>
      <c r="B16" s="2"/>
      <c r="C16" s="2"/>
      <c r="D16" s="2"/>
      <c r="E16" s="2"/>
      <c r="F16" s="2"/>
      <c r="G16" s="2"/>
      <c r="H16" s="2"/>
      <c r="I16" s="2"/>
      <c r="J16" s="2"/>
      <c r="K16" s="2"/>
      <c r="L16" s="2"/>
      <c r="M16" s="2"/>
      <c r="N16" s="2"/>
      <c r="O16" s="2"/>
      <c r="P16" s="2"/>
      <c r="Q16" s="2"/>
      <c r="R16" s="2"/>
      <c r="S16" s="2"/>
      <c r="T16" s="2"/>
      <c r="U16" s="2"/>
      <c r="V16" s="2"/>
    </row>
    <row r="17">
      <c r="A17" s="2"/>
      <c r="B17" s="2"/>
      <c r="C17" s="2"/>
      <c r="D17" s="2"/>
      <c r="E17" s="2"/>
      <c r="F17" s="2"/>
      <c r="G17" s="2"/>
      <c r="H17" s="2"/>
      <c r="I17" s="2"/>
      <c r="J17" s="2"/>
      <c r="K17" s="2"/>
      <c r="L17" s="2"/>
      <c r="M17" s="2"/>
      <c r="N17" s="2"/>
      <c r="O17" s="2"/>
      <c r="P17" s="2"/>
      <c r="Q17" s="2"/>
      <c r="R17" s="2"/>
      <c r="S17" s="2"/>
      <c r="T17" s="2"/>
      <c r="U17" s="2"/>
      <c r="V17" s="2"/>
    </row>
    <row r="18">
      <c r="A18" s="2"/>
      <c r="B18" s="2"/>
      <c r="C18" s="2"/>
      <c r="D18" s="2"/>
      <c r="E18" s="2"/>
      <c r="F18" s="2"/>
      <c r="G18" s="2"/>
      <c r="H18" s="2"/>
      <c r="I18" s="2"/>
      <c r="J18" s="2"/>
      <c r="K18" s="2"/>
      <c r="L18" s="2"/>
      <c r="M18" s="2"/>
      <c r="N18" s="2"/>
      <c r="O18" s="2"/>
      <c r="P18" s="2"/>
      <c r="Q18" s="2"/>
      <c r="R18" s="2"/>
      <c r="S18" s="2"/>
      <c r="T18" s="2"/>
      <c r="U18" s="2"/>
      <c r="V18" s="2"/>
    </row>
    <row r="19">
      <c r="A19" s="2"/>
      <c r="B19" s="2"/>
      <c r="C19" s="2"/>
      <c r="D19" s="2"/>
      <c r="E19" s="2"/>
      <c r="F19" s="2"/>
      <c r="G19" s="2"/>
      <c r="H19" s="2"/>
      <c r="I19" s="2"/>
      <c r="J19" s="2"/>
      <c r="K19" s="2"/>
      <c r="L19" s="2"/>
      <c r="M19" s="2"/>
      <c r="N19" s="2"/>
      <c r="O19" s="2"/>
      <c r="P19" s="2"/>
      <c r="Q19" s="2"/>
      <c r="R19" s="2"/>
      <c r="S19" s="2"/>
      <c r="T19" s="2"/>
      <c r="U19" s="2"/>
      <c r="V19" s="2"/>
    </row>
    <row r="20">
      <c r="A20" s="2"/>
      <c r="B20" s="2"/>
      <c r="C20" s="2"/>
      <c r="D20" s="2"/>
      <c r="E20" s="2"/>
      <c r="F20" s="2"/>
      <c r="G20" s="2"/>
      <c r="H20" s="2"/>
      <c r="I20" s="2"/>
      <c r="J20" s="2"/>
      <c r="K20" s="2"/>
      <c r="L20" s="2"/>
      <c r="M20" s="2"/>
      <c r="N20" s="2"/>
      <c r="O20" s="2"/>
      <c r="P20" s="2"/>
      <c r="Q20" s="2"/>
      <c r="R20" s="2"/>
      <c r="S20" s="2"/>
      <c r="T20" s="2"/>
      <c r="U20" s="2"/>
      <c r="V20" s="2"/>
    </row>
    <row r="21" ht="15.75" customHeight="1">
      <c r="A21" s="2"/>
      <c r="B21" s="2"/>
      <c r="C21" s="2"/>
      <c r="D21" s="2"/>
      <c r="E21" s="2"/>
      <c r="F21" s="2"/>
      <c r="G21" s="2"/>
      <c r="H21" s="2"/>
      <c r="I21" s="2"/>
      <c r="J21" s="2"/>
      <c r="K21" s="2"/>
      <c r="L21" s="2"/>
      <c r="M21" s="2"/>
      <c r="N21" s="2"/>
      <c r="O21" s="2"/>
      <c r="P21" s="2"/>
      <c r="Q21" s="2"/>
      <c r="R21" s="2"/>
      <c r="S21" s="2"/>
      <c r="T21" s="2"/>
      <c r="U21" s="2"/>
      <c r="V21" s="2"/>
    </row>
    <row r="22" ht="15.75" customHeight="1">
      <c r="A22" s="2"/>
      <c r="B22" s="2"/>
      <c r="C22" s="2"/>
      <c r="D22" s="2"/>
      <c r="E22" s="2"/>
      <c r="F22" s="2"/>
      <c r="G22" s="2"/>
      <c r="H22" s="2"/>
      <c r="I22" s="2"/>
      <c r="J22" s="2"/>
      <c r="K22" s="2"/>
      <c r="L22" s="2"/>
      <c r="M22" s="2"/>
      <c r="N22" s="2"/>
      <c r="O22" s="2"/>
      <c r="P22" s="2"/>
      <c r="Q22" s="2"/>
      <c r="R22" s="2"/>
      <c r="S22" s="2"/>
      <c r="T22" s="2"/>
      <c r="U22" s="2"/>
      <c r="V22" s="2"/>
    </row>
    <row r="23" ht="15.75" customHeight="1">
      <c r="A23" s="2"/>
      <c r="B23" s="2"/>
      <c r="C23" s="2"/>
      <c r="D23" s="2"/>
      <c r="E23" s="2"/>
      <c r="F23" s="2"/>
      <c r="G23" s="2"/>
      <c r="H23" s="2"/>
      <c r="I23" s="2"/>
      <c r="J23" s="2"/>
      <c r="K23" s="2"/>
      <c r="L23" s="2"/>
      <c r="M23" s="2"/>
      <c r="N23" s="2"/>
      <c r="O23" s="2"/>
      <c r="P23" s="2"/>
      <c r="Q23" s="2"/>
      <c r="R23" s="2"/>
      <c r="S23" s="2"/>
      <c r="T23" s="2"/>
      <c r="U23" s="2"/>
      <c r="V23" s="2"/>
    </row>
    <row r="24" ht="15.75" customHeight="1">
      <c r="A24" s="2"/>
      <c r="B24" s="2"/>
      <c r="C24" s="2"/>
      <c r="D24" s="2"/>
      <c r="E24" s="2"/>
      <c r="F24" s="2"/>
      <c r="G24" s="2"/>
      <c r="H24" s="2"/>
      <c r="I24" s="2"/>
      <c r="J24" s="2"/>
      <c r="K24" s="2"/>
      <c r="L24" s="2"/>
      <c r="M24" s="2"/>
      <c r="N24" s="2"/>
      <c r="O24" s="2"/>
      <c r="P24" s="2"/>
      <c r="Q24" s="2"/>
      <c r="R24" s="2"/>
      <c r="S24" s="2"/>
      <c r="T24" s="2"/>
      <c r="U24" s="2"/>
      <c r="V24" s="2"/>
    </row>
    <row r="25" ht="15.75" customHeight="1">
      <c r="A25" s="2"/>
      <c r="B25" s="2"/>
      <c r="C25" s="2"/>
      <c r="D25" s="2"/>
      <c r="E25" s="2"/>
      <c r="F25" s="2"/>
      <c r="G25" s="2"/>
      <c r="H25" s="2"/>
      <c r="I25" s="2"/>
      <c r="J25" s="2"/>
      <c r="K25" s="2"/>
      <c r="L25" s="2"/>
      <c r="M25" s="2"/>
      <c r="N25" s="2"/>
      <c r="O25" s="2"/>
      <c r="P25" s="2"/>
      <c r="Q25" s="2"/>
      <c r="R25" s="2"/>
      <c r="S25" s="2"/>
      <c r="T25" s="2"/>
      <c r="U25" s="2"/>
      <c r="V25" s="2"/>
    </row>
    <row r="26" ht="15.75" customHeight="1">
      <c r="A26" s="2"/>
      <c r="B26" s="2"/>
      <c r="C26" s="2"/>
      <c r="D26" s="2"/>
      <c r="E26" s="2"/>
      <c r="F26" s="2"/>
      <c r="G26" s="2"/>
      <c r="H26" s="2"/>
      <c r="I26" s="2"/>
      <c r="J26" s="2"/>
      <c r="K26" s="2"/>
      <c r="L26" s="2"/>
      <c r="M26" s="2"/>
      <c r="N26" s="2"/>
      <c r="O26" s="2"/>
      <c r="P26" s="2"/>
      <c r="Q26" s="2"/>
      <c r="R26" s="2"/>
      <c r="S26" s="2"/>
      <c r="T26" s="2"/>
      <c r="U26" s="2"/>
      <c r="V26" s="2"/>
    </row>
    <row r="27" ht="15.75" customHeight="1">
      <c r="A27" s="2"/>
      <c r="B27" s="2"/>
      <c r="C27" s="2"/>
      <c r="D27" s="2"/>
      <c r="E27" s="2"/>
      <c r="F27" s="2"/>
      <c r="G27" s="2"/>
      <c r="H27" s="2"/>
      <c r="I27" s="2"/>
      <c r="J27" s="2"/>
      <c r="K27" s="2"/>
      <c r="L27" s="2"/>
      <c r="M27" s="2"/>
      <c r="N27" s="2"/>
      <c r="O27" s="2"/>
      <c r="P27" s="2"/>
      <c r="Q27" s="2"/>
      <c r="R27" s="2"/>
      <c r="S27" s="2"/>
      <c r="T27" s="2"/>
      <c r="U27" s="2"/>
      <c r="V27" s="2"/>
    </row>
    <row r="28" ht="15.75" customHeight="1">
      <c r="A28" s="2"/>
      <c r="B28" s="2"/>
      <c r="C28" s="2"/>
      <c r="D28" s="2"/>
      <c r="E28" s="2"/>
      <c r="F28" s="2"/>
      <c r="G28" s="2"/>
      <c r="H28" s="2"/>
      <c r="I28" s="2"/>
      <c r="J28" s="2"/>
      <c r="K28" s="2"/>
      <c r="L28" s="2"/>
      <c r="M28" s="2"/>
      <c r="N28" s="2"/>
      <c r="O28" s="2"/>
      <c r="P28" s="2"/>
      <c r="Q28" s="2"/>
      <c r="R28" s="2"/>
      <c r="S28" s="2"/>
      <c r="T28" s="2"/>
      <c r="U28" s="2"/>
      <c r="V28" s="2"/>
    </row>
    <row r="29" ht="15.75" customHeight="1">
      <c r="A29" s="2"/>
      <c r="B29" s="2"/>
      <c r="C29" s="2"/>
      <c r="D29" s="2"/>
      <c r="E29" s="2"/>
      <c r="F29" s="2"/>
      <c r="G29" s="2"/>
      <c r="H29" s="2"/>
      <c r="I29" s="2"/>
      <c r="J29" s="2"/>
      <c r="K29" s="2"/>
      <c r="L29" s="2"/>
      <c r="M29" s="2"/>
      <c r="N29" s="2"/>
      <c r="O29" s="2"/>
      <c r="P29" s="2"/>
      <c r="Q29" s="2"/>
      <c r="R29" s="2"/>
      <c r="S29" s="2"/>
      <c r="T29" s="2"/>
      <c r="U29" s="2"/>
      <c r="V29" s="2"/>
    </row>
    <row r="30" ht="15.75" customHeight="1">
      <c r="A30" s="2"/>
      <c r="B30" s="2"/>
      <c r="C30" s="2"/>
      <c r="D30" s="2"/>
      <c r="E30" s="2"/>
      <c r="F30" s="2"/>
      <c r="G30" s="2"/>
      <c r="H30" s="2"/>
      <c r="I30" s="2"/>
      <c r="J30" s="2"/>
      <c r="K30" s="2"/>
      <c r="L30" s="2"/>
      <c r="M30" s="2"/>
      <c r="N30" s="2"/>
      <c r="O30" s="2"/>
      <c r="P30" s="2"/>
      <c r="Q30" s="2"/>
      <c r="R30" s="2"/>
      <c r="S30" s="2"/>
      <c r="T30" s="2"/>
      <c r="U30" s="2"/>
      <c r="V30" s="2"/>
    </row>
    <row r="31" ht="15.75" customHeight="1">
      <c r="A31" s="2"/>
      <c r="B31" s="2"/>
      <c r="C31" s="2"/>
      <c r="D31" s="2"/>
      <c r="E31" s="2"/>
      <c r="F31" s="2"/>
      <c r="G31" s="2"/>
      <c r="H31" s="2"/>
      <c r="I31" s="2"/>
      <c r="J31" s="2"/>
      <c r="K31" s="2"/>
      <c r="L31" s="2"/>
      <c r="M31" s="2"/>
      <c r="N31" s="2"/>
      <c r="O31" s="2"/>
      <c r="P31" s="2"/>
      <c r="Q31" s="2"/>
      <c r="R31" s="2"/>
      <c r="S31" s="2"/>
      <c r="T31" s="2"/>
      <c r="U31" s="2"/>
      <c r="V31" s="2"/>
    </row>
    <row r="32" ht="15.75" customHeight="1">
      <c r="A32" s="2"/>
      <c r="B32" s="2"/>
      <c r="C32" s="2"/>
      <c r="D32" s="2"/>
      <c r="E32" s="2"/>
      <c r="F32" s="2"/>
      <c r="G32" s="2"/>
      <c r="H32" s="2"/>
      <c r="I32" s="2"/>
      <c r="J32" s="2"/>
      <c r="K32" s="2"/>
      <c r="L32" s="2"/>
      <c r="M32" s="2"/>
      <c r="N32" s="2"/>
      <c r="O32" s="2"/>
      <c r="P32" s="2"/>
      <c r="Q32" s="2"/>
      <c r="R32" s="2"/>
      <c r="S32" s="2"/>
      <c r="T32" s="2"/>
      <c r="U32" s="2"/>
      <c r="V32" s="2"/>
    </row>
    <row r="33" ht="15.75" customHeight="1">
      <c r="A33" s="2"/>
      <c r="B33" s="2"/>
      <c r="C33" s="2"/>
      <c r="D33" s="2"/>
      <c r="E33" s="2"/>
      <c r="F33" s="2"/>
      <c r="G33" s="2"/>
      <c r="H33" s="2"/>
      <c r="I33" s="2"/>
      <c r="J33" s="2"/>
      <c r="K33" s="2"/>
      <c r="L33" s="2"/>
      <c r="M33" s="2"/>
      <c r="N33" s="2"/>
      <c r="O33" s="2"/>
      <c r="P33" s="2"/>
      <c r="Q33" s="2"/>
      <c r="R33" s="2"/>
      <c r="S33" s="2"/>
      <c r="T33" s="2"/>
      <c r="U33" s="2"/>
      <c r="V33" s="2"/>
    </row>
    <row r="34" ht="15.75" customHeight="1">
      <c r="A34" s="2"/>
      <c r="B34" s="2"/>
      <c r="C34" s="2"/>
      <c r="D34" s="2"/>
      <c r="E34" s="2"/>
      <c r="F34" s="2"/>
      <c r="G34" s="2"/>
      <c r="H34" s="2"/>
      <c r="I34" s="2"/>
      <c r="J34" s="2"/>
      <c r="K34" s="2"/>
      <c r="L34" s="2"/>
      <c r="M34" s="2"/>
      <c r="N34" s="2"/>
      <c r="O34" s="2"/>
      <c r="P34" s="2"/>
      <c r="Q34" s="2"/>
      <c r="R34" s="2"/>
      <c r="S34" s="2"/>
      <c r="T34" s="2"/>
      <c r="U34" s="2"/>
      <c r="V34" s="2"/>
    </row>
    <row r="35" ht="15.75" customHeight="1">
      <c r="A35" s="2"/>
      <c r="B35" s="2"/>
      <c r="C35" s="2"/>
      <c r="D35" s="2"/>
      <c r="E35" s="2"/>
      <c r="F35" s="2"/>
      <c r="G35" s="2"/>
      <c r="H35" s="2"/>
      <c r="I35" s="2"/>
      <c r="J35" s="2"/>
      <c r="K35" s="2"/>
      <c r="L35" s="2"/>
      <c r="M35" s="2"/>
      <c r="N35" s="2"/>
      <c r="O35" s="2"/>
      <c r="P35" s="2"/>
      <c r="Q35" s="2"/>
      <c r="R35" s="2"/>
      <c r="S35" s="2"/>
      <c r="T35" s="2"/>
      <c r="U35" s="2"/>
      <c r="V35" s="2"/>
    </row>
    <row r="36" ht="15.75" customHeight="1">
      <c r="A36" s="2"/>
      <c r="B36" s="2"/>
      <c r="C36" s="2"/>
      <c r="D36" s="2"/>
      <c r="E36" s="2"/>
      <c r="F36" s="2"/>
      <c r="G36" s="2"/>
      <c r="H36" s="2"/>
      <c r="I36" s="2"/>
      <c r="J36" s="2"/>
      <c r="K36" s="2"/>
      <c r="L36" s="2"/>
      <c r="M36" s="2"/>
      <c r="N36" s="2"/>
      <c r="O36" s="2"/>
      <c r="P36" s="2"/>
      <c r="Q36" s="2"/>
      <c r="R36" s="2"/>
      <c r="S36" s="2"/>
      <c r="T36" s="2"/>
      <c r="U36" s="2"/>
      <c r="V36" s="2"/>
    </row>
    <row r="37" ht="15.75" customHeight="1">
      <c r="A37" s="2"/>
      <c r="B37" s="2"/>
      <c r="C37" s="2"/>
      <c r="D37" s="2"/>
      <c r="E37" s="2"/>
      <c r="F37" s="2"/>
      <c r="G37" s="2"/>
      <c r="H37" s="2"/>
      <c r="I37" s="2"/>
      <c r="J37" s="2"/>
      <c r="K37" s="2"/>
      <c r="L37" s="2"/>
      <c r="M37" s="2"/>
      <c r="N37" s="2"/>
      <c r="O37" s="2"/>
      <c r="P37" s="2"/>
      <c r="Q37" s="2"/>
      <c r="R37" s="2"/>
      <c r="S37" s="2"/>
      <c r="T37" s="2"/>
      <c r="U37" s="2"/>
      <c r="V37" s="2"/>
    </row>
    <row r="38" ht="15.75" customHeight="1">
      <c r="A38" s="2"/>
      <c r="B38" s="2"/>
      <c r="C38" s="2"/>
      <c r="D38" s="2"/>
      <c r="E38" s="2"/>
      <c r="F38" s="2"/>
      <c r="G38" s="2"/>
      <c r="H38" s="2"/>
      <c r="I38" s="2"/>
      <c r="J38" s="2"/>
      <c r="K38" s="2"/>
      <c r="L38" s="2"/>
      <c r="M38" s="2"/>
      <c r="N38" s="2"/>
      <c r="O38" s="2"/>
      <c r="P38" s="2"/>
      <c r="Q38" s="2"/>
      <c r="R38" s="2"/>
      <c r="S38" s="2"/>
      <c r="T38" s="2"/>
      <c r="U38" s="2"/>
      <c r="V38" s="2"/>
    </row>
    <row r="39" ht="15.75" customHeight="1">
      <c r="A39" s="2"/>
      <c r="B39" s="2"/>
      <c r="C39" s="2"/>
      <c r="D39" s="2"/>
      <c r="E39" s="2"/>
      <c r="F39" s="2"/>
      <c r="G39" s="2"/>
      <c r="H39" s="2"/>
      <c r="I39" s="2"/>
      <c r="J39" s="2"/>
      <c r="K39" s="2"/>
      <c r="L39" s="2"/>
      <c r="M39" s="2"/>
      <c r="N39" s="2"/>
      <c r="O39" s="2"/>
      <c r="P39" s="2"/>
      <c r="Q39" s="2"/>
      <c r="R39" s="2"/>
      <c r="S39" s="2"/>
      <c r="T39" s="2"/>
      <c r="U39" s="2"/>
      <c r="V39" s="2"/>
    </row>
    <row r="40" ht="15.75" customHeight="1">
      <c r="A40" s="2"/>
      <c r="B40" s="2"/>
      <c r="C40" s="2"/>
      <c r="D40" s="2"/>
      <c r="E40" s="2"/>
      <c r="F40" s="2"/>
      <c r="G40" s="2"/>
      <c r="H40" s="2"/>
      <c r="I40" s="2"/>
      <c r="J40" s="2"/>
      <c r="K40" s="2"/>
      <c r="L40" s="2"/>
      <c r="M40" s="2"/>
      <c r="N40" s="2"/>
      <c r="O40" s="2"/>
      <c r="P40" s="2"/>
      <c r="Q40" s="2"/>
      <c r="R40" s="2"/>
      <c r="S40" s="2"/>
      <c r="T40" s="2"/>
      <c r="U40" s="2"/>
      <c r="V40" s="2"/>
    </row>
    <row r="41" ht="15.75" customHeight="1">
      <c r="A41" s="2"/>
      <c r="B41" s="2"/>
      <c r="C41" s="2"/>
      <c r="D41" s="2"/>
      <c r="E41" s="2"/>
      <c r="F41" s="2"/>
      <c r="G41" s="2"/>
      <c r="H41" s="2"/>
      <c r="I41" s="2"/>
      <c r="J41" s="2"/>
      <c r="K41" s="2"/>
      <c r="L41" s="2"/>
      <c r="M41" s="2"/>
      <c r="N41" s="2"/>
      <c r="O41" s="2"/>
      <c r="P41" s="2"/>
      <c r="Q41" s="2"/>
      <c r="R41" s="2"/>
      <c r="S41" s="2"/>
      <c r="T41" s="2"/>
      <c r="U41" s="2"/>
      <c r="V41" s="2"/>
    </row>
    <row r="42" ht="15.75" customHeight="1">
      <c r="A42" s="2"/>
      <c r="B42" s="2"/>
      <c r="C42" s="2"/>
      <c r="D42" s="2"/>
      <c r="E42" s="2"/>
      <c r="F42" s="2"/>
      <c r="G42" s="2"/>
      <c r="H42" s="2"/>
      <c r="I42" s="2"/>
      <c r="J42" s="2"/>
      <c r="K42" s="2"/>
      <c r="L42" s="2"/>
      <c r="M42" s="2"/>
      <c r="N42" s="2"/>
      <c r="O42" s="2"/>
      <c r="P42" s="2"/>
      <c r="Q42" s="2"/>
      <c r="R42" s="2"/>
      <c r="S42" s="2"/>
      <c r="T42" s="2"/>
      <c r="U42" s="2"/>
      <c r="V42" s="2"/>
    </row>
    <row r="43" ht="15.75" customHeight="1">
      <c r="A43" s="2"/>
      <c r="B43" s="2"/>
      <c r="C43" s="2"/>
      <c r="D43" s="2"/>
      <c r="E43" s="2"/>
      <c r="F43" s="2"/>
      <c r="G43" s="2"/>
      <c r="H43" s="2"/>
      <c r="I43" s="2"/>
      <c r="J43" s="2"/>
      <c r="K43" s="2"/>
      <c r="L43" s="2"/>
      <c r="M43" s="2"/>
      <c r="N43" s="2"/>
      <c r="O43" s="2"/>
      <c r="P43" s="2"/>
      <c r="Q43" s="2"/>
      <c r="R43" s="2"/>
      <c r="S43" s="2"/>
      <c r="T43" s="2"/>
      <c r="U43" s="2"/>
      <c r="V43" s="2"/>
    </row>
    <row r="44" ht="15.75" customHeight="1">
      <c r="A44" s="2"/>
      <c r="B44" s="2"/>
      <c r="C44" s="2"/>
      <c r="D44" s="2"/>
      <c r="E44" s="2"/>
      <c r="F44" s="2"/>
      <c r="G44" s="2"/>
      <c r="H44" s="2"/>
      <c r="I44" s="2"/>
      <c r="J44" s="2"/>
      <c r="K44" s="2"/>
      <c r="L44" s="2"/>
      <c r="M44" s="2"/>
      <c r="N44" s="2"/>
      <c r="O44" s="2"/>
      <c r="P44" s="2"/>
      <c r="Q44" s="2"/>
      <c r="R44" s="2"/>
      <c r="S44" s="2"/>
      <c r="T44" s="2"/>
      <c r="U44" s="2"/>
      <c r="V44" s="2"/>
    </row>
    <row r="45" ht="15.75" customHeight="1">
      <c r="A45" s="2"/>
      <c r="B45" s="2"/>
      <c r="C45" s="2"/>
      <c r="D45" s="2"/>
      <c r="E45" s="2"/>
      <c r="F45" s="2"/>
      <c r="G45" s="2"/>
      <c r="H45" s="2"/>
      <c r="I45" s="2"/>
      <c r="J45" s="2"/>
      <c r="K45" s="2"/>
      <c r="L45" s="2"/>
      <c r="M45" s="2"/>
      <c r="N45" s="2"/>
      <c r="O45" s="2"/>
      <c r="P45" s="2"/>
      <c r="Q45" s="2"/>
      <c r="R45" s="2"/>
      <c r="S45" s="2"/>
      <c r="T45" s="2"/>
      <c r="U45" s="2"/>
      <c r="V45" s="2"/>
    </row>
    <row r="46" ht="15.75" customHeight="1">
      <c r="A46" s="2"/>
      <c r="B46" s="2"/>
      <c r="C46" s="2"/>
      <c r="D46" s="2"/>
      <c r="E46" s="2"/>
      <c r="F46" s="2"/>
      <c r="G46" s="2"/>
      <c r="H46" s="2"/>
      <c r="I46" s="2"/>
      <c r="J46" s="2"/>
      <c r="K46" s="2"/>
      <c r="L46" s="2"/>
      <c r="M46" s="2"/>
      <c r="N46" s="2"/>
      <c r="O46" s="2"/>
      <c r="P46" s="2"/>
      <c r="Q46" s="2"/>
      <c r="R46" s="2"/>
      <c r="S46" s="2"/>
      <c r="T46" s="2"/>
      <c r="U46" s="2"/>
      <c r="V46" s="2"/>
    </row>
    <row r="47" ht="15.75" customHeight="1">
      <c r="A47" s="2"/>
      <c r="B47" s="2"/>
      <c r="C47" s="2"/>
      <c r="D47" s="2"/>
      <c r="E47" s="2"/>
      <c r="F47" s="2"/>
      <c r="G47" s="2"/>
      <c r="H47" s="2"/>
      <c r="I47" s="2"/>
      <c r="J47" s="2"/>
      <c r="K47" s="2"/>
      <c r="L47" s="2"/>
      <c r="M47" s="2"/>
      <c r="N47" s="2"/>
      <c r="O47" s="2"/>
      <c r="P47" s="2"/>
      <c r="Q47" s="2"/>
      <c r="R47" s="2"/>
      <c r="S47" s="2"/>
      <c r="T47" s="2"/>
      <c r="U47" s="2"/>
      <c r="V47" s="2"/>
    </row>
    <row r="48" ht="15.75" customHeight="1">
      <c r="A48" s="2"/>
      <c r="B48" s="2"/>
      <c r="C48" s="2"/>
      <c r="D48" s="2"/>
      <c r="E48" s="2"/>
      <c r="F48" s="2"/>
      <c r="G48" s="2"/>
      <c r="H48" s="2"/>
      <c r="I48" s="2"/>
      <c r="J48" s="2"/>
      <c r="K48" s="2"/>
      <c r="L48" s="2"/>
      <c r="M48" s="2"/>
      <c r="N48" s="2"/>
      <c r="O48" s="2"/>
      <c r="P48" s="2"/>
      <c r="Q48" s="2"/>
      <c r="R48" s="2"/>
      <c r="S48" s="2"/>
      <c r="T48" s="2"/>
      <c r="U48" s="2"/>
      <c r="V48" s="2"/>
    </row>
    <row r="49" ht="15.75" customHeight="1">
      <c r="A49" s="2"/>
      <c r="B49" s="2"/>
      <c r="C49" s="2"/>
      <c r="D49" s="2"/>
      <c r="E49" s="2"/>
      <c r="F49" s="2"/>
      <c r="G49" s="2"/>
      <c r="H49" s="2"/>
      <c r="I49" s="2"/>
      <c r="J49" s="2"/>
      <c r="K49" s="2"/>
      <c r="L49" s="2"/>
      <c r="M49" s="2"/>
      <c r="N49" s="2"/>
      <c r="O49" s="2"/>
      <c r="P49" s="2"/>
      <c r="Q49" s="2"/>
      <c r="R49" s="2"/>
      <c r="S49" s="2"/>
      <c r="T49" s="2"/>
      <c r="U49" s="2"/>
      <c r="V49" s="2"/>
    </row>
    <row r="50" ht="15.75" customHeight="1">
      <c r="A50" s="2"/>
      <c r="B50" s="2"/>
      <c r="C50" s="2"/>
      <c r="D50" s="2"/>
      <c r="E50" s="2"/>
      <c r="F50" s="2"/>
      <c r="G50" s="2"/>
      <c r="H50" s="2"/>
      <c r="I50" s="2"/>
      <c r="J50" s="2"/>
      <c r="K50" s="2"/>
      <c r="L50" s="2"/>
      <c r="M50" s="2"/>
      <c r="N50" s="2"/>
      <c r="O50" s="2"/>
      <c r="P50" s="2"/>
      <c r="Q50" s="2"/>
      <c r="R50" s="2"/>
      <c r="S50" s="2"/>
      <c r="T50" s="2"/>
      <c r="U50" s="2"/>
      <c r="V50" s="2"/>
    </row>
    <row r="51" ht="15.75" customHeight="1">
      <c r="A51" s="2"/>
      <c r="B51" s="2"/>
      <c r="C51" s="2"/>
      <c r="D51" s="2"/>
      <c r="E51" s="2"/>
      <c r="F51" s="2"/>
      <c r="G51" s="2"/>
      <c r="H51" s="2"/>
      <c r="I51" s="2"/>
      <c r="J51" s="2"/>
      <c r="K51" s="2"/>
      <c r="L51" s="2"/>
      <c r="M51" s="2"/>
      <c r="N51" s="2"/>
      <c r="O51" s="2"/>
      <c r="P51" s="2"/>
      <c r="Q51" s="2"/>
      <c r="R51" s="2"/>
      <c r="S51" s="2"/>
      <c r="T51" s="2"/>
      <c r="U51" s="2"/>
      <c r="V51" s="2"/>
    </row>
    <row r="52" ht="15.75" customHeight="1">
      <c r="A52" s="2"/>
      <c r="B52" s="2"/>
      <c r="C52" s="2"/>
      <c r="D52" s="2"/>
      <c r="E52" s="2"/>
      <c r="F52" s="2"/>
      <c r="G52" s="2"/>
      <c r="H52" s="2"/>
      <c r="I52" s="2"/>
      <c r="J52" s="2"/>
      <c r="K52" s="2"/>
      <c r="L52" s="2"/>
      <c r="M52" s="2"/>
      <c r="N52" s="2"/>
      <c r="O52" s="2"/>
      <c r="P52" s="2"/>
      <c r="Q52" s="2"/>
      <c r="R52" s="2"/>
      <c r="S52" s="2"/>
      <c r="T52" s="2"/>
      <c r="U52" s="2"/>
      <c r="V52" s="2"/>
    </row>
    <row r="53" ht="15.75" customHeight="1">
      <c r="A53" s="2"/>
      <c r="B53" s="2"/>
      <c r="C53" s="2"/>
      <c r="D53" s="2"/>
      <c r="E53" s="2"/>
      <c r="F53" s="2"/>
      <c r="G53" s="2"/>
      <c r="H53" s="2"/>
      <c r="I53" s="2"/>
      <c r="J53" s="2"/>
      <c r="K53" s="2"/>
      <c r="L53" s="2"/>
      <c r="M53" s="2"/>
      <c r="N53" s="2"/>
      <c r="O53" s="2"/>
      <c r="P53" s="2"/>
      <c r="Q53" s="2"/>
      <c r="R53" s="2"/>
      <c r="S53" s="2"/>
      <c r="T53" s="2"/>
      <c r="U53" s="2"/>
      <c r="V53" s="2"/>
    </row>
    <row r="54" ht="15.75" customHeight="1">
      <c r="A54" s="2"/>
      <c r="B54" s="2"/>
      <c r="C54" s="2"/>
      <c r="D54" s="2"/>
      <c r="E54" s="2"/>
      <c r="F54" s="2"/>
      <c r="G54" s="2"/>
      <c r="H54" s="2"/>
      <c r="I54" s="2"/>
      <c r="J54" s="2"/>
      <c r="K54" s="2"/>
      <c r="L54" s="2"/>
      <c r="M54" s="2"/>
      <c r="N54" s="2"/>
      <c r="O54" s="2"/>
      <c r="P54" s="2"/>
      <c r="Q54" s="2"/>
      <c r="R54" s="2"/>
      <c r="S54" s="2"/>
      <c r="T54" s="2"/>
      <c r="U54" s="2"/>
      <c r="V54" s="2"/>
    </row>
    <row r="55" ht="15.75" customHeight="1">
      <c r="A55" s="2"/>
      <c r="B55" s="2"/>
      <c r="C55" s="2"/>
      <c r="D55" s="2"/>
      <c r="E55" s="2"/>
      <c r="F55" s="2"/>
      <c r="G55" s="2"/>
      <c r="H55" s="2"/>
      <c r="I55" s="2"/>
      <c r="J55" s="2"/>
      <c r="K55" s="2"/>
      <c r="L55" s="2"/>
      <c r="M55" s="2"/>
      <c r="N55" s="2"/>
      <c r="O55" s="2"/>
      <c r="P55" s="2"/>
      <c r="Q55" s="2"/>
      <c r="R55" s="2"/>
      <c r="S55" s="2"/>
      <c r="T55" s="2"/>
      <c r="U55" s="2"/>
      <c r="V55" s="2"/>
    </row>
    <row r="56" ht="15.75" customHeight="1">
      <c r="A56" s="2"/>
      <c r="B56" s="2"/>
      <c r="C56" s="2"/>
      <c r="D56" s="2"/>
      <c r="E56" s="2"/>
      <c r="F56" s="2"/>
      <c r="G56" s="2"/>
      <c r="H56" s="2"/>
      <c r="I56" s="2"/>
      <c r="J56" s="2"/>
      <c r="K56" s="2"/>
      <c r="L56" s="2"/>
      <c r="M56" s="2"/>
      <c r="N56" s="2"/>
      <c r="O56" s="2"/>
      <c r="P56" s="2"/>
      <c r="Q56" s="2"/>
      <c r="R56" s="2"/>
      <c r="S56" s="2"/>
      <c r="T56" s="2"/>
      <c r="U56" s="2"/>
      <c r="V56" s="2"/>
    </row>
    <row r="57" ht="15.75" customHeight="1">
      <c r="A57" s="2"/>
      <c r="B57" s="2"/>
      <c r="C57" s="2"/>
      <c r="D57" s="2"/>
      <c r="E57" s="2"/>
      <c r="F57" s="2"/>
      <c r="G57" s="2"/>
      <c r="H57" s="2"/>
      <c r="I57" s="2"/>
      <c r="J57" s="2"/>
      <c r="K57" s="2"/>
      <c r="L57" s="2"/>
      <c r="M57" s="2"/>
      <c r="N57" s="2"/>
      <c r="O57" s="2"/>
      <c r="P57" s="2"/>
      <c r="Q57" s="2"/>
      <c r="R57" s="2"/>
      <c r="S57" s="2"/>
      <c r="T57" s="2"/>
      <c r="U57" s="2"/>
      <c r="V57" s="2"/>
    </row>
    <row r="58" ht="15.75" customHeight="1">
      <c r="A58" s="2"/>
      <c r="B58" s="2"/>
      <c r="C58" s="2"/>
      <c r="D58" s="2"/>
      <c r="E58" s="2"/>
      <c r="F58" s="2"/>
      <c r="G58" s="2"/>
      <c r="H58" s="2"/>
      <c r="I58" s="2"/>
      <c r="J58" s="2"/>
      <c r="K58" s="2"/>
      <c r="L58" s="2"/>
      <c r="M58" s="2"/>
      <c r="N58" s="2"/>
      <c r="O58" s="2"/>
      <c r="P58" s="2"/>
      <c r="Q58" s="2"/>
      <c r="R58" s="2"/>
      <c r="S58" s="2"/>
      <c r="T58" s="2"/>
      <c r="U58" s="2"/>
      <c r="V58" s="2"/>
    </row>
    <row r="59" ht="15.75" customHeight="1">
      <c r="A59" s="2"/>
      <c r="B59" s="2"/>
      <c r="C59" s="2"/>
      <c r="D59" s="2"/>
      <c r="E59" s="2"/>
      <c r="F59" s="2"/>
      <c r="G59" s="2"/>
      <c r="H59" s="2"/>
      <c r="I59" s="2"/>
      <c r="J59" s="2"/>
      <c r="K59" s="2"/>
      <c r="L59" s="2"/>
      <c r="M59" s="2"/>
      <c r="N59" s="2"/>
      <c r="O59" s="2"/>
      <c r="P59" s="2"/>
      <c r="Q59" s="2"/>
      <c r="R59" s="2"/>
      <c r="S59" s="2"/>
      <c r="T59" s="2"/>
      <c r="U59" s="2"/>
      <c r="V59" s="2"/>
    </row>
    <row r="60" ht="15.75" customHeight="1">
      <c r="A60" s="2"/>
      <c r="B60" s="2"/>
      <c r="C60" s="2"/>
      <c r="D60" s="2"/>
      <c r="E60" s="2"/>
      <c r="F60" s="2"/>
      <c r="G60" s="2"/>
      <c r="H60" s="2"/>
      <c r="I60" s="2"/>
      <c r="J60" s="2"/>
      <c r="K60" s="2"/>
      <c r="L60" s="2"/>
      <c r="M60" s="2"/>
      <c r="N60" s="2"/>
      <c r="O60" s="2"/>
      <c r="P60" s="2"/>
      <c r="Q60" s="2"/>
      <c r="R60" s="2"/>
      <c r="S60" s="2"/>
      <c r="T60" s="2"/>
      <c r="U60" s="2"/>
      <c r="V60" s="2"/>
    </row>
    <row r="61" ht="15.75" customHeight="1">
      <c r="A61" s="2"/>
      <c r="B61" s="2"/>
      <c r="C61" s="2"/>
      <c r="D61" s="2"/>
      <c r="E61" s="2"/>
      <c r="F61" s="2"/>
      <c r="G61" s="2"/>
      <c r="H61" s="2"/>
      <c r="I61" s="2"/>
      <c r="J61" s="2"/>
      <c r="K61" s="2"/>
      <c r="L61" s="2"/>
      <c r="M61" s="2"/>
      <c r="N61" s="2"/>
      <c r="O61" s="2"/>
      <c r="P61" s="2"/>
      <c r="Q61" s="2"/>
      <c r="R61" s="2"/>
      <c r="S61" s="2"/>
      <c r="T61" s="2"/>
      <c r="U61" s="2"/>
      <c r="V61" s="2"/>
    </row>
    <row r="62" ht="15.75" customHeight="1">
      <c r="A62" s="2"/>
      <c r="B62" s="2"/>
      <c r="C62" s="2"/>
      <c r="D62" s="2"/>
      <c r="E62" s="2"/>
      <c r="F62" s="2"/>
      <c r="G62" s="2"/>
      <c r="H62" s="2"/>
      <c r="I62" s="2"/>
      <c r="J62" s="2"/>
      <c r="K62" s="2"/>
      <c r="L62" s="2"/>
      <c r="M62" s="2"/>
      <c r="N62" s="2"/>
      <c r="O62" s="2"/>
      <c r="P62" s="2"/>
      <c r="Q62" s="2"/>
      <c r="R62" s="2"/>
      <c r="S62" s="2"/>
      <c r="T62" s="2"/>
      <c r="U62" s="2"/>
      <c r="V62" s="2"/>
    </row>
    <row r="63" ht="15.75" customHeight="1">
      <c r="A63" s="2"/>
      <c r="B63" s="2"/>
      <c r="C63" s="2"/>
      <c r="D63" s="2"/>
      <c r="E63" s="2"/>
      <c r="F63" s="2"/>
      <c r="G63" s="2"/>
      <c r="H63" s="2"/>
      <c r="I63" s="2"/>
      <c r="J63" s="2"/>
      <c r="K63" s="2"/>
      <c r="L63" s="2"/>
      <c r="M63" s="2"/>
      <c r="N63" s="2"/>
      <c r="O63" s="2"/>
      <c r="P63" s="2"/>
      <c r="Q63" s="2"/>
      <c r="R63" s="2"/>
      <c r="S63" s="2"/>
      <c r="T63" s="2"/>
      <c r="U63" s="2"/>
      <c r="V63" s="2"/>
    </row>
    <row r="64" ht="15.75" customHeight="1">
      <c r="A64" s="2"/>
      <c r="B64" s="2"/>
      <c r="C64" s="2"/>
      <c r="D64" s="2"/>
      <c r="E64" s="2"/>
      <c r="F64" s="2"/>
      <c r="G64" s="2"/>
      <c r="H64" s="2"/>
      <c r="I64" s="2"/>
      <c r="J64" s="2"/>
      <c r="K64" s="2"/>
      <c r="L64" s="2"/>
      <c r="M64" s="2"/>
      <c r="N64" s="2"/>
      <c r="O64" s="2"/>
      <c r="P64" s="2"/>
      <c r="Q64" s="2"/>
      <c r="R64" s="2"/>
      <c r="S64" s="2"/>
      <c r="T64" s="2"/>
      <c r="U64" s="2"/>
      <c r="V64" s="2"/>
    </row>
    <row r="65" ht="15.75" customHeight="1">
      <c r="A65" s="2"/>
      <c r="B65" s="2"/>
      <c r="C65" s="2"/>
      <c r="D65" s="2"/>
      <c r="E65" s="2"/>
      <c r="F65" s="2"/>
      <c r="G65" s="2"/>
      <c r="H65" s="2"/>
      <c r="I65" s="2"/>
      <c r="J65" s="2"/>
      <c r="K65" s="2"/>
      <c r="L65" s="2"/>
      <c r="M65" s="2"/>
      <c r="N65" s="2"/>
      <c r="O65" s="2"/>
      <c r="P65" s="2"/>
      <c r="Q65" s="2"/>
      <c r="R65" s="2"/>
      <c r="S65" s="2"/>
      <c r="T65" s="2"/>
      <c r="U65" s="2"/>
      <c r="V65" s="2"/>
    </row>
    <row r="66" ht="15.75" customHeight="1">
      <c r="A66" s="2"/>
      <c r="B66" s="2"/>
      <c r="C66" s="2"/>
      <c r="D66" s="2"/>
      <c r="E66" s="2"/>
      <c r="F66" s="2"/>
      <c r="G66" s="2"/>
      <c r="H66" s="2"/>
      <c r="I66" s="2"/>
      <c r="J66" s="2"/>
      <c r="K66" s="2"/>
      <c r="L66" s="2"/>
      <c r="M66" s="2"/>
      <c r="N66" s="2"/>
      <c r="O66" s="2"/>
      <c r="P66" s="2"/>
      <c r="Q66" s="2"/>
      <c r="R66" s="2"/>
      <c r="S66" s="2"/>
      <c r="T66" s="2"/>
      <c r="U66" s="2"/>
      <c r="V66" s="2"/>
    </row>
    <row r="67" ht="15.75" customHeight="1">
      <c r="A67" s="2"/>
      <c r="B67" s="2"/>
      <c r="C67" s="2"/>
      <c r="D67" s="2"/>
      <c r="E67" s="2"/>
      <c r="F67" s="2"/>
      <c r="G67" s="2"/>
      <c r="H67" s="2"/>
      <c r="I67" s="2"/>
      <c r="J67" s="2"/>
      <c r="K67" s="2"/>
      <c r="L67" s="2"/>
      <c r="M67" s="2"/>
      <c r="N67" s="2"/>
      <c r="O67" s="2"/>
      <c r="P67" s="2"/>
      <c r="Q67" s="2"/>
      <c r="R67" s="2"/>
      <c r="S67" s="2"/>
      <c r="T67" s="2"/>
      <c r="U67" s="2"/>
      <c r="V67" s="2"/>
    </row>
    <row r="68" ht="15.75" customHeight="1">
      <c r="A68" s="2"/>
      <c r="B68" s="2"/>
      <c r="C68" s="2"/>
      <c r="D68" s="2"/>
      <c r="E68" s="2"/>
      <c r="F68" s="2"/>
      <c r="G68" s="2"/>
      <c r="H68" s="2"/>
      <c r="I68" s="2"/>
      <c r="J68" s="2"/>
      <c r="K68" s="2"/>
      <c r="L68" s="2"/>
      <c r="M68" s="2"/>
      <c r="N68" s="2"/>
      <c r="O68" s="2"/>
      <c r="P68" s="2"/>
      <c r="Q68" s="2"/>
      <c r="R68" s="2"/>
      <c r="S68" s="2"/>
      <c r="T68" s="2"/>
      <c r="U68" s="2"/>
      <c r="V68" s="2"/>
    </row>
    <row r="69" ht="15.75" customHeight="1">
      <c r="A69" s="2"/>
      <c r="B69" s="2"/>
      <c r="C69" s="2"/>
      <c r="D69" s="2"/>
      <c r="E69" s="2"/>
      <c r="F69" s="2"/>
      <c r="G69" s="2"/>
      <c r="H69" s="2"/>
      <c r="I69" s="2"/>
      <c r="J69" s="2"/>
      <c r="K69" s="2"/>
      <c r="L69" s="2"/>
      <c r="M69" s="2"/>
      <c r="N69" s="2"/>
      <c r="O69" s="2"/>
      <c r="P69" s="2"/>
      <c r="Q69" s="2"/>
      <c r="R69" s="2"/>
      <c r="S69" s="2"/>
      <c r="T69" s="2"/>
      <c r="U69" s="2"/>
      <c r="V69" s="2"/>
    </row>
    <row r="70" ht="15.75" customHeight="1">
      <c r="A70" s="2"/>
      <c r="B70" s="2"/>
      <c r="C70" s="2"/>
      <c r="D70" s="2"/>
      <c r="E70" s="2"/>
      <c r="F70" s="2"/>
      <c r="G70" s="2"/>
      <c r="H70" s="2"/>
      <c r="I70" s="2"/>
      <c r="J70" s="2"/>
      <c r="K70" s="2"/>
      <c r="L70" s="2"/>
      <c r="M70" s="2"/>
      <c r="N70" s="2"/>
      <c r="O70" s="2"/>
      <c r="P70" s="2"/>
      <c r="Q70" s="2"/>
      <c r="R70" s="2"/>
      <c r="S70" s="2"/>
      <c r="T70" s="2"/>
      <c r="U70" s="2"/>
      <c r="V70" s="2"/>
    </row>
    <row r="71" ht="15.75" customHeight="1">
      <c r="A71" s="2"/>
      <c r="B71" s="2"/>
      <c r="C71" s="2"/>
      <c r="D71" s="2"/>
      <c r="E71" s="2"/>
      <c r="F71" s="2"/>
      <c r="G71" s="2"/>
      <c r="H71" s="2"/>
      <c r="I71" s="2"/>
      <c r="J71" s="2"/>
      <c r="K71" s="2"/>
      <c r="L71" s="2"/>
      <c r="M71" s="2"/>
      <c r="N71" s="2"/>
      <c r="O71" s="2"/>
      <c r="P71" s="2"/>
      <c r="Q71" s="2"/>
      <c r="R71" s="2"/>
      <c r="S71" s="2"/>
      <c r="T71" s="2"/>
      <c r="U71" s="2"/>
      <c r="V71" s="2"/>
    </row>
    <row r="72" ht="15.75" customHeight="1">
      <c r="A72" s="2"/>
      <c r="B72" s="2"/>
      <c r="C72" s="2"/>
      <c r="D72" s="2"/>
      <c r="E72" s="2"/>
      <c r="F72" s="2"/>
      <c r="G72" s="2"/>
      <c r="H72" s="2"/>
      <c r="I72" s="2"/>
      <c r="J72" s="2"/>
      <c r="K72" s="2"/>
      <c r="L72" s="2"/>
      <c r="M72" s="2"/>
      <c r="N72" s="2"/>
      <c r="O72" s="2"/>
      <c r="P72" s="2"/>
      <c r="Q72" s="2"/>
      <c r="R72" s="2"/>
      <c r="S72" s="2"/>
      <c r="T72" s="2"/>
      <c r="U72" s="2"/>
      <c r="V72" s="2"/>
    </row>
    <row r="73" ht="15.75" customHeight="1">
      <c r="A73" s="2"/>
      <c r="B73" s="2"/>
      <c r="C73" s="2"/>
      <c r="D73" s="2"/>
      <c r="E73" s="2"/>
      <c r="F73" s="2"/>
      <c r="G73" s="2"/>
      <c r="H73" s="2"/>
      <c r="I73" s="2"/>
      <c r="J73" s="2"/>
      <c r="K73" s="2"/>
      <c r="L73" s="2"/>
      <c r="M73" s="2"/>
      <c r="N73" s="2"/>
      <c r="O73" s="2"/>
      <c r="P73" s="2"/>
      <c r="Q73" s="2"/>
      <c r="R73" s="2"/>
      <c r="S73" s="2"/>
      <c r="T73" s="2"/>
      <c r="U73" s="2"/>
      <c r="V73" s="2"/>
    </row>
    <row r="74" ht="15.75" customHeight="1">
      <c r="A74" s="2"/>
      <c r="B74" s="2"/>
      <c r="C74" s="2"/>
      <c r="D74" s="2"/>
      <c r="E74" s="2"/>
      <c r="F74" s="2"/>
      <c r="G74" s="2"/>
      <c r="H74" s="2"/>
      <c r="I74" s="2"/>
      <c r="J74" s="2"/>
      <c r="K74" s="2"/>
      <c r="L74" s="2"/>
      <c r="M74" s="2"/>
      <c r="N74" s="2"/>
      <c r="O74" s="2"/>
      <c r="P74" s="2"/>
      <c r="Q74" s="2"/>
      <c r="R74" s="2"/>
      <c r="S74" s="2"/>
      <c r="T74" s="2"/>
      <c r="U74" s="2"/>
      <c r="V74" s="2"/>
    </row>
    <row r="75" ht="15.75" customHeight="1">
      <c r="A75" s="2"/>
      <c r="B75" s="2"/>
      <c r="C75" s="2"/>
      <c r="D75" s="2"/>
      <c r="E75" s="2"/>
      <c r="F75" s="2"/>
      <c r="G75" s="2"/>
      <c r="H75" s="2"/>
      <c r="I75" s="2"/>
      <c r="J75" s="2"/>
      <c r="K75" s="2"/>
      <c r="L75" s="2"/>
      <c r="M75" s="2"/>
      <c r="N75" s="2"/>
      <c r="O75" s="2"/>
      <c r="P75" s="2"/>
      <c r="Q75" s="2"/>
      <c r="R75" s="2"/>
      <c r="S75" s="2"/>
      <c r="T75" s="2"/>
      <c r="U75" s="2"/>
      <c r="V75" s="2"/>
    </row>
    <row r="76" ht="15.75" customHeight="1">
      <c r="A76" s="2"/>
      <c r="B76" s="2"/>
      <c r="C76" s="2"/>
      <c r="D76" s="2"/>
      <c r="E76" s="2"/>
      <c r="F76" s="2"/>
      <c r="G76" s="2"/>
      <c r="H76" s="2"/>
      <c r="I76" s="2"/>
      <c r="J76" s="2"/>
      <c r="K76" s="2"/>
      <c r="L76" s="2"/>
      <c r="M76" s="2"/>
      <c r="N76" s="2"/>
      <c r="O76" s="2"/>
      <c r="P76" s="2"/>
      <c r="Q76" s="2"/>
      <c r="R76" s="2"/>
      <c r="S76" s="2"/>
      <c r="T76" s="2"/>
      <c r="U76" s="2"/>
      <c r="V76" s="2"/>
    </row>
    <row r="77" ht="15.75" customHeight="1">
      <c r="A77" s="2"/>
      <c r="B77" s="2"/>
      <c r="C77" s="2"/>
      <c r="D77" s="2"/>
      <c r="E77" s="2"/>
      <c r="F77" s="2"/>
      <c r="G77" s="2"/>
      <c r="H77" s="2"/>
      <c r="I77" s="2"/>
      <c r="J77" s="2"/>
      <c r="K77" s="2"/>
      <c r="L77" s="2"/>
      <c r="M77" s="2"/>
      <c r="N77" s="2"/>
      <c r="O77" s="2"/>
      <c r="P77" s="2"/>
      <c r="Q77" s="2"/>
      <c r="R77" s="2"/>
      <c r="S77" s="2"/>
      <c r="T77" s="2"/>
      <c r="U77" s="2"/>
      <c r="V77" s="2"/>
    </row>
    <row r="78" ht="15.75" customHeight="1">
      <c r="A78" s="2"/>
      <c r="B78" s="2"/>
      <c r="C78" s="2"/>
      <c r="D78" s="2"/>
      <c r="E78" s="2"/>
      <c r="F78" s="2"/>
      <c r="G78" s="2"/>
      <c r="H78" s="2"/>
      <c r="I78" s="2"/>
      <c r="J78" s="2"/>
      <c r="K78" s="2"/>
      <c r="L78" s="2"/>
      <c r="M78" s="2"/>
      <c r="N78" s="2"/>
      <c r="O78" s="2"/>
      <c r="P78" s="2"/>
      <c r="Q78" s="2"/>
      <c r="R78" s="2"/>
      <c r="S78" s="2"/>
      <c r="T78" s="2"/>
      <c r="U78" s="2"/>
      <c r="V78" s="2"/>
    </row>
    <row r="79" ht="15.75" customHeight="1">
      <c r="A79" s="2"/>
      <c r="B79" s="2"/>
      <c r="C79" s="2"/>
      <c r="D79" s="2"/>
      <c r="E79" s="2"/>
      <c r="F79" s="2"/>
      <c r="G79" s="2"/>
      <c r="H79" s="2"/>
      <c r="I79" s="2"/>
      <c r="J79" s="2"/>
      <c r="K79" s="2"/>
      <c r="L79" s="2"/>
      <c r="M79" s="2"/>
      <c r="N79" s="2"/>
      <c r="O79" s="2"/>
      <c r="P79" s="2"/>
      <c r="Q79" s="2"/>
      <c r="R79" s="2"/>
      <c r="S79" s="2"/>
      <c r="T79" s="2"/>
      <c r="U79" s="2"/>
      <c r="V79" s="2"/>
    </row>
    <row r="80" ht="15.75" customHeight="1">
      <c r="A80" s="2"/>
      <c r="B80" s="2"/>
      <c r="C80" s="2"/>
      <c r="D80" s="2"/>
      <c r="E80" s="2"/>
      <c r="F80" s="2"/>
      <c r="G80" s="2"/>
      <c r="H80" s="2"/>
      <c r="I80" s="2"/>
      <c r="J80" s="2"/>
      <c r="K80" s="2"/>
      <c r="L80" s="2"/>
      <c r="M80" s="2"/>
      <c r="N80" s="2"/>
      <c r="O80" s="2"/>
      <c r="P80" s="2"/>
      <c r="Q80" s="2"/>
      <c r="R80" s="2"/>
      <c r="S80" s="2"/>
      <c r="T80" s="2"/>
      <c r="U80" s="2"/>
      <c r="V80" s="2"/>
    </row>
    <row r="81" ht="15.75" customHeight="1">
      <c r="A81" s="2"/>
      <c r="B81" s="2"/>
      <c r="C81" s="2"/>
      <c r="D81" s="2"/>
      <c r="E81" s="2"/>
      <c r="F81" s="2"/>
      <c r="G81" s="2"/>
      <c r="H81" s="2"/>
      <c r="I81" s="2"/>
      <c r="J81" s="2"/>
      <c r="K81" s="2"/>
      <c r="L81" s="2"/>
      <c r="M81" s="2"/>
      <c r="N81" s="2"/>
      <c r="O81" s="2"/>
      <c r="P81" s="2"/>
      <c r="Q81" s="2"/>
      <c r="R81" s="2"/>
      <c r="S81" s="2"/>
      <c r="T81" s="2"/>
      <c r="U81" s="2"/>
      <c r="V81" s="2"/>
    </row>
    <row r="82" ht="15.75" customHeight="1">
      <c r="A82" s="2"/>
      <c r="B82" s="2"/>
      <c r="C82" s="2"/>
      <c r="D82" s="2"/>
      <c r="E82" s="2"/>
      <c r="F82" s="2"/>
      <c r="G82" s="2"/>
      <c r="H82" s="2"/>
      <c r="I82" s="2"/>
      <c r="J82" s="2"/>
      <c r="K82" s="2"/>
      <c r="L82" s="2"/>
      <c r="M82" s="2"/>
      <c r="N82" s="2"/>
      <c r="O82" s="2"/>
      <c r="P82" s="2"/>
      <c r="Q82" s="2"/>
      <c r="R82" s="2"/>
      <c r="S82" s="2"/>
      <c r="T82" s="2"/>
      <c r="U82" s="2"/>
      <c r="V82" s="2"/>
    </row>
    <row r="83" ht="15.75" customHeight="1">
      <c r="A83" s="2"/>
      <c r="B83" s="2"/>
      <c r="C83" s="2"/>
      <c r="D83" s="2"/>
      <c r="E83" s="2"/>
      <c r="F83" s="2"/>
      <c r="G83" s="2"/>
      <c r="H83" s="2"/>
      <c r="I83" s="2"/>
      <c r="J83" s="2"/>
      <c r="K83" s="2"/>
      <c r="L83" s="2"/>
      <c r="M83" s="2"/>
      <c r="N83" s="2"/>
      <c r="O83" s="2"/>
      <c r="P83" s="2"/>
      <c r="Q83" s="2"/>
      <c r="R83" s="2"/>
      <c r="S83" s="2"/>
      <c r="T83" s="2"/>
      <c r="U83" s="2"/>
      <c r="V83" s="2"/>
    </row>
    <row r="84" ht="15.75" customHeight="1">
      <c r="A84" s="2"/>
      <c r="B84" s="2"/>
      <c r="C84" s="2"/>
      <c r="D84" s="2"/>
      <c r="E84" s="2"/>
      <c r="F84" s="2"/>
      <c r="G84" s="2"/>
      <c r="H84" s="2"/>
      <c r="I84" s="2"/>
      <c r="J84" s="2"/>
      <c r="K84" s="2"/>
      <c r="L84" s="2"/>
      <c r="M84" s="2"/>
      <c r="N84" s="2"/>
      <c r="O84" s="2"/>
      <c r="P84" s="2"/>
      <c r="Q84" s="2"/>
      <c r="R84" s="2"/>
      <c r="S84" s="2"/>
      <c r="T84" s="2"/>
      <c r="U84" s="2"/>
      <c r="V84" s="2"/>
    </row>
    <row r="85" ht="15.75" customHeight="1">
      <c r="A85" s="2"/>
      <c r="B85" s="2"/>
      <c r="C85" s="2"/>
      <c r="D85" s="2"/>
      <c r="E85" s="2"/>
      <c r="F85" s="2"/>
      <c r="G85" s="2"/>
      <c r="H85" s="2"/>
      <c r="I85" s="2"/>
      <c r="J85" s="2"/>
      <c r="K85" s="2"/>
      <c r="L85" s="2"/>
      <c r="M85" s="2"/>
      <c r="N85" s="2"/>
      <c r="O85" s="2"/>
      <c r="P85" s="2"/>
      <c r="Q85" s="2"/>
      <c r="R85" s="2"/>
      <c r="S85" s="2"/>
      <c r="T85" s="2"/>
      <c r="U85" s="2"/>
      <c r="V85" s="2"/>
    </row>
    <row r="86" ht="15.75" customHeight="1">
      <c r="A86" s="2"/>
      <c r="B86" s="2"/>
      <c r="C86" s="2"/>
      <c r="D86" s="2"/>
      <c r="E86" s="2"/>
      <c r="F86" s="2"/>
      <c r="G86" s="2"/>
      <c r="H86" s="2"/>
      <c r="I86" s="2"/>
      <c r="J86" s="2"/>
      <c r="K86" s="2"/>
      <c r="L86" s="2"/>
      <c r="M86" s="2"/>
      <c r="N86" s="2"/>
      <c r="O86" s="2"/>
      <c r="P86" s="2"/>
      <c r="Q86" s="2"/>
      <c r="R86" s="2"/>
      <c r="S86" s="2"/>
      <c r="T86" s="2"/>
      <c r="U86" s="2"/>
      <c r="V86" s="2"/>
    </row>
    <row r="87" ht="15.75" customHeight="1">
      <c r="A87" s="2"/>
      <c r="B87" s="2"/>
      <c r="C87" s="2"/>
      <c r="D87" s="2"/>
      <c r="E87" s="2"/>
      <c r="F87" s="2"/>
      <c r="G87" s="2"/>
      <c r="H87" s="2"/>
      <c r="I87" s="2"/>
      <c r="J87" s="2"/>
      <c r="K87" s="2"/>
      <c r="L87" s="2"/>
      <c r="M87" s="2"/>
      <c r="N87" s="2"/>
      <c r="O87" s="2"/>
      <c r="P87" s="2"/>
      <c r="Q87" s="2"/>
      <c r="R87" s="2"/>
      <c r="S87" s="2"/>
      <c r="T87" s="2"/>
      <c r="U87" s="2"/>
      <c r="V87" s="2"/>
    </row>
    <row r="88" ht="15.75" customHeight="1">
      <c r="A88" s="2"/>
      <c r="B88" s="2"/>
      <c r="C88" s="2"/>
      <c r="D88" s="2"/>
      <c r="E88" s="2"/>
      <c r="F88" s="2"/>
      <c r="G88" s="2"/>
      <c r="H88" s="2"/>
      <c r="I88" s="2"/>
      <c r="J88" s="2"/>
      <c r="K88" s="2"/>
      <c r="L88" s="2"/>
      <c r="M88" s="2"/>
      <c r="N88" s="2"/>
      <c r="O88" s="2"/>
      <c r="P88" s="2"/>
      <c r="Q88" s="2"/>
      <c r="R88" s="2"/>
      <c r="S88" s="2"/>
      <c r="T88" s="2"/>
      <c r="U88" s="2"/>
      <c r="V88" s="2"/>
    </row>
    <row r="89" ht="15.75" customHeight="1">
      <c r="A89" s="2"/>
      <c r="B89" s="2"/>
      <c r="C89" s="2"/>
      <c r="D89" s="2"/>
      <c r="E89" s="2"/>
      <c r="F89" s="2"/>
      <c r="G89" s="2"/>
      <c r="H89" s="2"/>
      <c r="I89" s="2"/>
      <c r="J89" s="2"/>
      <c r="K89" s="2"/>
      <c r="L89" s="2"/>
      <c r="M89" s="2"/>
      <c r="N89" s="2"/>
      <c r="O89" s="2"/>
      <c r="P89" s="2"/>
      <c r="Q89" s="2"/>
      <c r="R89" s="2"/>
      <c r="S89" s="2"/>
      <c r="T89" s="2"/>
      <c r="U89" s="2"/>
      <c r="V89" s="2"/>
    </row>
    <row r="90" ht="15.75" customHeight="1">
      <c r="A90" s="2"/>
      <c r="B90" s="2"/>
      <c r="C90" s="2"/>
      <c r="D90" s="2"/>
      <c r="E90" s="2"/>
      <c r="F90" s="2"/>
      <c r="G90" s="2"/>
      <c r="H90" s="2"/>
      <c r="I90" s="2"/>
      <c r="J90" s="2"/>
      <c r="K90" s="2"/>
      <c r="L90" s="2"/>
      <c r="M90" s="2"/>
      <c r="N90" s="2"/>
      <c r="O90" s="2"/>
      <c r="P90" s="2"/>
      <c r="Q90" s="2"/>
      <c r="R90" s="2"/>
      <c r="S90" s="2"/>
      <c r="T90" s="2"/>
      <c r="U90" s="2"/>
      <c r="V90" s="2"/>
    </row>
    <row r="91" ht="15.75" customHeight="1">
      <c r="A91" s="2"/>
      <c r="B91" s="2"/>
      <c r="C91" s="2"/>
      <c r="D91" s="2"/>
      <c r="E91" s="2"/>
      <c r="F91" s="2"/>
      <c r="G91" s="2"/>
      <c r="H91" s="2"/>
      <c r="I91" s="2"/>
      <c r="J91" s="2"/>
      <c r="K91" s="2"/>
      <c r="L91" s="2"/>
      <c r="M91" s="2"/>
      <c r="N91" s="2"/>
      <c r="O91" s="2"/>
      <c r="P91" s="2"/>
      <c r="Q91" s="2"/>
      <c r="R91" s="2"/>
      <c r="S91" s="2"/>
      <c r="T91" s="2"/>
      <c r="U91" s="2"/>
      <c r="V91" s="2"/>
    </row>
    <row r="92" ht="15.75" customHeight="1">
      <c r="A92" s="2"/>
      <c r="B92" s="2"/>
      <c r="C92" s="2"/>
      <c r="D92" s="2"/>
      <c r="E92" s="2"/>
      <c r="F92" s="2"/>
      <c r="G92" s="2"/>
      <c r="H92" s="2"/>
      <c r="I92" s="2"/>
      <c r="J92" s="2"/>
      <c r="K92" s="2"/>
      <c r="L92" s="2"/>
      <c r="M92" s="2"/>
      <c r="N92" s="2"/>
      <c r="O92" s="2"/>
      <c r="P92" s="2"/>
      <c r="Q92" s="2"/>
      <c r="R92" s="2"/>
      <c r="S92" s="2"/>
      <c r="T92" s="2"/>
      <c r="U92" s="2"/>
      <c r="V92" s="2"/>
    </row>
    <row r="93" ht="15.75" customHeight="1">
      <c r="A93" s="2"/>
      <c r="B93" s="2"/>
      <c r="C93" s="2"/>
      <c r="D93" s="2"/>
      <c r="E93" s="2"/>
      <c r="F93" s="2"/>
      <c r="G93" s="2"/>
      <c r="H93" s="2"/>
      <c r="I93" s="2"/>
      <c r="J93" s="2"/>
      <c r="K93" s="2"/>
      <c r="L93" s="2"/>
      <c r="M93" s="2"/>
      <c r="N93" s="2"/>
      <c r="O93" s="2"/>
      <c r="P93" s="2"/>
      <c r="Q93" s="2"/>
      <c r="R93" s="2"/>
      <c r="S93" s="2"/>
      <c r="T93" s="2"/>
      <c r="U93" s="2"/>
      <c r="V93" s="2"/>
    </row>
    <row r="94" ht="15.75" customHeight="1">
      <c r="A94" s="2"/>
      <c r="B94" s="2"/>
      <c r="C94" s="2"/>
      <c r="D94" s="2"/>
      <c r="E94" s="2"/>
      <c r="F94" s="2"/>
      <c r="G94" s="2"/>
      <c r="H94" s="2"/>
      <c r="I94" s="2"/>
      <c r="J94" s="2"/>
      <c r="K94" s="2"/>
      <c r="L94" s="2"/>
      <c r="M94" s="2"/>
      <c r="N94" s="2"/>
      <c r="O94" s="2"/>
      <c r="P94" s="2"/>
      <c r="Q94" s="2"/>
      <c r="R94" s="2"/>
      <c r="S94" s="2"/>
      <c r="T94" s="2"/>
      <c r="U94" s="2"/>
      <c r="V94" s="2"/>
    </row>
    <row r="95" ht="15.75" customHeight="1">
      <c r="A95" s="2"/>
      <c r="B95" s="2"/>
      <c r="C95" s="2"/>
      <c r="D95" s="2"/>
      <c r="E95" s="2"/>
      <c r="F95" s="2"/>
      <c r="G95" s="2"/>
      <c r="H95" s="2"/>
      <c r="I95" s="2"/>
      <c r="J95" s="2"/>
      <c r="K95" s="2"/>
      <c r="L95" s="2"/>
      <c r="M95" s="2"/>
      <c r="N95" s="2"/>
      <c r="O95" s="2"/>
      <c r="P95" s="2"/>
      <c r="Q95" s="2"/>
      <c r="R95" s="2"/>
      <c r="S95" s="2"/>
      <c r="T95" s="2"/>
      <c r="U95" s="2"/>
      <c r="V95" s="2"/>
    </row>
    <row r="96" ht="15.75" customHeight="1">
      <c r="A96" s="2"/>
      <c r="B96" s="2"/>
      <c r="C96" s="2"/>
      <c r="D96" s="2"/>
      <c r="E96" s="2"/>
      <c r="F96" s="2"/>
      <c r="G96" s="2"/>
      <c r="H96" s="2"/>
      <c r="I96" s="2"/>
      <c r="J96" s="2"/>
      <c r="K96" s="2"/>
      <c r="L96" s="2"/>
      <c r="M96" s="2"/>
      <c r="N96" s="2"/>
      <c r="O96" s="2"/>
      <c r="P96" s="2"/>
      <c r="Q96" s="2"/>
      <c r="R96" s="2"/>
      <c r="S96" s="2"/>
      <c r="T96" s="2"/>
      <c r="U96" s="2"/>
      <c r="V96" s="2"/>
    </row>
    <row r="97" ht="15.75" customHeight="1">
      <c r="A97" s="2"/>
      <c r="B97" s="2"/>
      <c r="C97" s="2"/>
      <c r="D97" s="2"/>
      <c r="E97" s="2"/>
      <c r="F97" s="2"/>
      <c r="G97" s="2"/>
      <c r="H97" s="2"/>
      <c r="I97" s="2"/>
      <c r="J97" s="2"/>
      <c r="K97" s="2"/>
      <c r="L97" s="2"/>
      <c r="M97" s="2"/>
      <c r="N97" s="2"/>
      <c r="O97" s="2"/>
      <c r="P97" s="2"/>
      <c r="Q97" s="2"/>
      <c r="R97" s="2"/>
      <c r="S97" s="2"/>
      <c r="T97" s="2"/>
      <c r="U97" s="2"/>
      <c r="V97" s="2"/>
    </row>
    <row r="98" ht="15.75" customHeight="1">
      <c r="A98" s="2"/>
      <c r="B98" s="2"/>
      <c r="C98" s="2"/>
      <c r="D98" s="2"/>
      <c r="E98" s="2"/>
      <c r="F98" s="2"/>
      <c r="G98" s="2"/>
      <c r="H98" s="2"/>
      <c r="I98" s="2"/>
      <c r="J98" s="2"/>
      <c r="K98" s="2"/>
      <c r="L98" s="2"/>
      <c r="M98" s="2"/>
      <c r="N98" s="2"/>
      <c r="O98" s="2"/>
      <c r="P98" s="2"/>
      <c r="Q98" s="2"/>
      <c r="R98" s="2"/>
      <c r="S98" s="2"/>
      <c r="T98" s="2"/>
      <c r="U98" s="2"/>
      <c r="V98" s="2"/>
    </row>
    <row r="99" ht="15.75" customHeight="1">
      <c r="A99" s="2"/>
      <c r="B99" s="2"/>
      <c r="C99" s="2"/>
      <c r="D99" s="2"/>
      <c r="E99" s="2"/>
      <c r="F99" s="2"/>
      <c r="G99" s="2"/>
      <c r="H99" s="2"/>
      <c r="I99" s="2"/>
      <c r="J99" s="2"/>
      <c r="K99" s="2"/>
      <c r="L99" s="2"/>
      <c r="M99" s="2"/>
      <c r="N99" s="2"/>
      <c r="O99" s="2"/>
      <c r="P99" s="2"/>
      <c r="Q99" s="2"/>
      <c r="R99" s="2"/>
      <c r="S99" s="2"/>
      <c r="T99" s="2"/>
      <c r="U99" s="2"/>
      <c r="V99" s="2"/>
    </row>
    <row r="100" ht="15.75" customHeight="1">
      <c r="A100" s="2"/>
      <c r="B100" s="2"/>
      <c r="C100" s="2"/>
      <c r="D100" s="2"/>
      <c r="E100" s="2"/>
      <c r="F100" s="2"/>
      <c r="G100" s="2"/>
      <c r="H100" s="2"/>
      <c r="I100" s="2"/>
      <c r="J100" s="2"/>
      <c r="K100" s="2"/>
      <c r="L100" s="2"/>
      <c r="M100" s="2"/>
      <c r="N100" s="2"/>
      <c r="O100" s="2"/>
      <c r="P100" s="2"/>
      <c r="Q100" s="2"/>
      <c r="R100" s="2"/>
      <c r="S100" s="2"/>
      <c r="T100" s="2"/>
      <c r="U100" s="2"/>
      <c r="V100" s="2"/>
    </row>
    <row r="101" ht="15.75" customHeight="1">
      <c r="A101" s="2"/>
      <c r="B101" s="2"/>
      <c r="C101" s="2"/>
      <c r="D101" s="2"/>
      <c r="E101" s="2"/>
      <c r="F101" s="2"/>
      <c r="G101" s="2"/>
      <c r="H101" s="2"/>
      <c r="I101" s="2"/>
      <c r="J101" s="2"/>
      <c r="K101" s="2"/>
      <c r="L101" s="2"/>
      <c r="M101" s="2"/>
      <c r="N101" s="2"/>
      <c r="O101" s="2"/>
      <c r="P101" s="2"/>
      <c r="Q101" s="2"/>
      <c r="R101" s="2"/>
      <c r="S101" s="2"/>
      <c r="T101" s="2"/>
      <c r="U101" s="2"/>
      <c r="V101" s="2"/>
    </row>
    <row r="102" ht="15.75" customHeight="1">
      <c r="A102" s="2"/>
      <c r="B102" s="2"/>
      <c r="C102" s="2"/>
      <c r="D102" s="2"/>
      <c r="E102" s="2"/>
      <c r="F102" s="2"/>
      <c r="G102" s="2"/>
      <c r="H102" s="2"/>
      <c r="I102" s="2"/>
      <c r="J102" s="2"/>
      <c r="K102" s="2"/>
      <c r="L102" s="2"/>
      <c r="M102" s="2"/>
      <c r="N102" s="2"/>
      <c r="O102" s="2"/>
      <c r="P102" s="2"/>
      <c r="Q102" s="2"/>
      <c r="R102" s="2"/>
      <c r="S102" s="2"/>
      <c r="T102" s="2"/>
      <c r="U102" s="2"/>
      <c r="V102" s="2"/>
    </row>
    <row r="103" ht="15.75" customHeight="1">
      <c r="A103" s="2"/>
      <c r="B103" s="2"/>
      <c r="C103" s="2"/>
      <c r="D103" s="2"/>
      <c r="E103" s="2"/>
      <c r="F103" s="2"/>
      <c r="G103" s="2"/>
      <c r="H103" s="2"/>
      <c r="I103" s="2"/>
      <c r="J103" s="2"/>
      <c r="K103" s="2"/>
      <c r="L103" s="2"/>
      <c r="M103" s="2"/>
      <c r="N103" s="2"/>
      <c r="O103" s="2"/>
      <c r="P103" s="2"/>
      <c r="Q103" s="2"/>
      <c r="R103" s="2"/>
      <c r="S103" s="2"/>
      <c r="T103" s="2"/>
      <c r="U103" s="2"/>
      <c r="V103" s="2"/>
    </row>
    <row r="104" ht="15.75" customHeight="1">
      <c r="A104" s="2"/>
      <c r="B104" s="2"/>
      <c r="C104" s="2"/>
      <c r="D104" s="2"/>
      <c r="E104" s="2"/>
      <c r="F104" s="2"/>
      <c r="G104" s="2"/>
      <c r="H104" s="2"/>
      <c r="I104" s="2"/>
      <c r="J104" s="2"/>
      <c r="K104" s="2"/>
      <c r="L104" s="2"/>
      <c r="M104" s="2"/>
      <c r="N104" s="2"/>
      <c r="O104" s="2"/>
      <c r="P104" s="2"/>
      <c r="Q104" s="2"/>
      <c r="R104" s="2"/>
      <c r="S104" s="2"/>
      <c r="T104" s="2"/>
      <c r="U104" s="2"/>
      <c r="V104" s="2"/>
    </row>
    <row r="105" ht="15.75" customHeight="1">
      <c r="A105" s="2"/>
      <c r="B105" s="2"/>
      <c r="C105" s="2"/>
      <c r="D105" s="2"/>
      <c r="E105" s="2"/>
      <c r="F105" s="2"/>
      <c r="G105" s="2"/>
      <c r="H105" s="2"/>
      <c r="I105" s="2"/>
      <c r="J105" s="2"/>
      <c r="K105" s="2"/>
      <c r="L105" s="2"/>
      <c r="M105" s="2"/>
      <c r="N105" s="2"/>
      <c r="O105" s="2"/>
      <c r="P105" s="2"/>
      <c r="Q105" s="2"/>
      <c r="R105" s="2"/>
      <c r="S105" s="2"/>
      <c r="T105" s="2"/>
      <c r="U105" s="2"/>
      <c r="V105" s="2"/>
    </row>
    <row r="106" ht="15.75" customHeight="1">
      <c r="A106" s="2"/>
      <c r="B106" s="2"/>
      <c r="C106" s="2"/>
      <c r="D106" s="2"/>
      <c r="E106" s="2"/>
      <c r="F106" s="2"/>
      <c r="G106" s="2"/>
      <c r="H106" s="2"/>
      <c r="I106" s="2"/>
      <c r="J106" s="2"/>
      <c r="K106" s="2"/>
      <c r="L106" s="2"/>
      <c r="M106" s="2"/>
      <c r="N106" s="2"/>
      <c r="O106" s="2"/>
      <c r="P106" s="2"/>
      <c r="Q106" s="2"/>
      <c r="R106" s="2"/>
      <c r="S106" s="2"/>
      <c r="T106" s="2"/>
      <c r="U106" s="2"/>
      <c r="V106" s="2"/>
    </row>
    <row r="107" ht="15.75" customHeight="1">
      <c r="A107" s="2"/>
      <c r="B107" s="2"/>
      <c r="C107" s="2"/>
      <c r="D107" s="2"/>
      <c r="E107" s="2"/>
      <c r="F107" s="2"/>
      <c r="G107" s="2"/>
      <c r="H107" s="2"/>
      <c r="I107" s="2"/>
      <c r="J107" s="2"/>
      <c r="K107" s="2"/>
      <c r="L107" s="2"/>
      <c r="M107" s="2"/>
      <c r="N107" s="2"/>
      <c r="O107" s="2"/>
      <c r="P107" s="2"/>
      <c r="Q107" s="2"/>
      <c r="R107" s="2"/>
      <c r="S107" s="2"/>
      <c r="T107" s="2"/>
      <c r="U107" s="2"/>
      <c r="V107" s="2"/>
    </row>
    <row r="108" ht="15.75" customHeight="1">
      <c r="A108" s="2"/>
      <c r="B108" s="2"/>
      <c r="C108" s="2"/>
      <c r="D108" s="2"/>
      <c r="E108" s="2"/>
      <c r="F108" s="2"/>
      <c r="G108" s="2"/>
      <c r="H108" s="2"/>
      <c r="I108" s="2"/>
      <c r="J108" s="2"/>
      <c r="K108" s="2"/>
      <c r="L108" s="2"/>
      <c r="M108" s="2"/>
      <c r="N108" s="2"/>
      <c r="O108" s="2"/>
      <c r="P108" s="2"/>
      <c r="Q108" s="2"/>
      <c r="R108" s="2"/>
      <c r="S108" s="2"/>
      <c r="T108" s="2"/>
      <c r="U108" s="2"/>
      <c r="V108" s="2"/>
    </row>
    <row r="109" ht="15.75" customHeight="1">
      <c r="A109" s="2"/>
      <c r="B109" s="2"/>
      <c r="C109" s="2"/>
      <c r="D109" s="2"/>
      <c r="E109" s="2"/>
      <c r="F109" s="2"/>
      <c r="G109" s="2"/>
      <c r="H109" s="2"/>
      <c r="I109" s="2"/>
      <c r="J109" s="2"/>
      <c r="K109" s="2"/>
      <c r="L109" s="2"/>
      <c r="M109" s="2"/>
      <c r="N109" s="2"/>
      <c r="O109" s="2"/>
      <c r="P109" s="2"/>
      <c r="Q109" s="2"/>
      <c r="R109" s="2"/>
      <c r="S109" s="2"/>
      <c r="T109" s="2"/>
      <c r="U109" s="2"/>
      <c r="V109" s="2"/>
    </row>
    <row r="110" ht="15.75" customHeight="1">
      <c r="A110" s="2"/>
      <c r="B110" s="2"/>
      <c r="C110" s="2"/>
      <c r="D110" s="2"/>
      <c r="E110" s="2"/>
      <c r="F110" s="2"/>
      <c r="G110" s="2"/>
      <c r="H110" s="2"/>
      <c r="I110" s="2"/>
      <c r="J110" s="2"/>
      <c r="K110" s="2"/>
      <c r="L110" s="2"/>
      <c r="M110" s="2"/>
      <c r="N110" s="2"/>
      <c r="O110" s="2"/>
      <c r="P110" s="2"/>
      <c r="Q110" s="2"/>
      <c r="R110" s="2"/>
      <c r="S110" s="2"/>
      <c r="T110" s="2"/>
      <c r="U110" s="2"/>
      <c r="V110" s="2"/>
    </row>
    <row r="111" ht="15.75" customHeight="1">
      <c r="A111" s="2"/>
      <c r="B111" s="2"/>
      <c r="C111" s="2"/>
      <c r="D111" s="2"/>
      <c r="E111" s="2"/>
      <c r="F111" s="2"/>
      <c r="G111" s="2"/>
      <c r="H111" s="2"/>
      <c r="I111" s="2"/>
      <c r="J111" s="2"/>
      <c r="K111" s="2"/>
      <c r="L111" s="2"/>
      <c r="M111" s="2"/>
      <c r="N111" s="2"/>
      <c r="O111" s="2"/>
      <c r="P111" s="2"/>
      <c r="Q111" s="2"/>
      <c r="R111" s="2"/>
      <c r="S111" s="2"/>
      <c r="T111" s="2"/>
      <c r="U111" s="2"/>
      <c r="V111" s="2"/>
    </row>
    <row r="112" ht="15.75" customHeight="1">
      <c r="A112" s="2"/>
      <c r="B112" s="2"/>
      <c r="C112" s="2"/>
      <c r="D112" s="2"/>
      <c r="E112" s="2"/>
      <c r="F112" s="2"/>
      <c r="G112" s="2"/>
      <c r="H112" s="2"/>
      <c r="I112" s="2"/>
      <c r="J112" s="2"/>
      <c r="K112" s="2"/>
      <c r="L112" s="2"/>
      <c r="M112" s="2"/>
      <c r="N112" s="2"/>
      <c r="O112" s="2"/>
      <c r="P112" s="2"/>
      <c r="Q112" s="2"/>
      <c r="R112" s="2"/>
      <c r="S112" s="2"/>
      <c r="T112" s="2"/>
      <c r="U112" s="2"/>
      <c r="V112" s="2"/>
    </row>
    <row r="113" ht="15.75" customHeight="1">
      <c r="A113" s="2"/>
      <c r="B113" s="2"/>
      <c r="C113" s="2"/>
      <c r="D113" s="2"/>
      <c r="E113" s="2"/>
      <c r="F113" s="2"/>
      <c r="G113" s="2"/>
      <c r="H113" s="2"/>
      <c r="I113" s="2"/>
      <c r="J113" s="2"/>
      <c r="K113" s="2"/>
      <c r="L113" s="2"/>
      <c r="M113" s="2"/>
      <c r="N113" s="2"/>
      <c r="O113" s="2"/>
      <c r="P113" s="2"/>
      <c r="Q113" s="2"/>
      <c r="R113" s="2"/>
      <c r="S113" s="2"/>
      <c r="T113" s="2"/>
      <c r="U113" s="2"/>
      <c r="V113" s="2"/>
    </row>
    <row r="114" ht="15.75" customHeight="1">
      <c r="A114" s="2"/>
      <c r="B114" s="2"/>
      <c r="C114" s="2"/>
      <c r="D114" s="2"/>
      <c r="E114" s="2"/>
      <c r="F114" s="2"/>
      <c r="G114" s="2"/>
      <c r="H114" s="2"/>
      <c r="I114" s="2"/>
      <c r="J114" s="2"/>
      <c r="K114" s="2"/>
      <c r="L114" s="2"/>
      <c r="M114" s="2"/>
      <c r="N114" s="2"/>
      <c r="O114" s="2"/>
      <c r="P114" s="2"/>
      <c r="Q114" s="2"/>
      <c r="R114" s="2"/>
      <c r="S114" s="2"/>
      <c r="T114" s="2"/>
      <c r="U114" s="2"/>
      <c r="V114" s="2"/>
    </row>
    <row r="115" ht="15.75" customHeight="1">
      <c r="A115" s="2"/>
      <c r="B115" s="2"/>
      <c r="C115" s="2"/>
      <c r="D115" s="2"/>
      <c r="E115" s="2"/>
      <c r="F115" s="2"/>
      <c r="G115" s="2"/>
      <c r="H115" s="2"/>
      <c r="I115" s="2"/>
      <c r="J115" s="2"/>
      <c r="K115" s="2"/>
      <c r="L115" s="2"/>
      <c r="M115" s="2"/>
      <c r="N115" s="2"/>
      <c r="O115" s="2"/>
      <c r="P115" s="2"/>
      <c r="Q115" s="2"/>
      <c r="R115" s="2"/>
      <c r="S115" s="2"/>
      <c r="T115" s="2"/>
      <c r="U115" s="2"/>
      <c r="V115" s="2"/>
    </row>
    <row r="116" ht="15.75" customHeight="1">
      <c r="A116" s="2"/>
      <c r="B116" s="2"/>
      <c r="C116" s="2"/>
      <c r="D116" s="2"/>
      <c r="E116" s="2"/>
      <c r="F116" s="2"/>
      <c r="G116" s="2"/>
      <c r="H116" s="2"/>
      <c r="I116" s="2"/>
      <c r="J116" s="2"/>
      <c r="K116" s="2"/>
      <c r="L116" s="2"/>
      <c r="M116" s="2"/>
      <c r="N116" s="2"/>
      <c r="O116" s="2"/>
      <c r="P116" s="2"/>
      <c r="Q116" s="2"/>
      <c r="R116" s="2"/>
      <c r="S116" s="2"/>
      <c r="T116" s="2"/>
      <c r="U116" s="2"/>
      <c r="V116" s="2"/>
    </row>
    <row r="117" ht="15.75" customHeight="1">
      <c r="A117" s="2"/>
      <c r="B117" s="2"/>
      <c r="C117" s="2"/>
      <c r="D117" s="2"/>
      <c r="E117" s="2"/>
      <c r="F117" s="2"/>
      <c r="G117" s="2"/>
      <c r="H117" s="2"/>
      <c r="I117" s="2"/>
      <c r="J117" s="2"/>
      <c r="K117" s="2"/>
      <c r="L117" s="2"/>
      <c r="M117" s="2"/>
      <c r="N117" s="2"/>
      <c r="O117" s="2"/>
      <c r="P117" s="2"/>
      <c r="Q117" s="2"/>
      <c r="R117" s="2"/>
      <c r="S117" s="2"/>
      <c r="T117" s="2"/>
      <c r="U117" s="2"/>
      <c r="V117" s="2"/>
    </row>
    <row r="118" ht="15.75" customHeight="1">
      <c r="A118" s="2"/>
      <c r="B118" s="2"/>
      <c r="C118" s="2"/>
      <c r="D118" s="2"/>
      <c r="E118" s="2"/>
      <c r="F118" s="2"/>
      <c r="G118" s="2"/>
      <c r="H118" s="2"/>
      <c r="I118" s="2"/>
      <c r="J118" s="2"/>
      <c r="K118" s="2"/>
      <c r="L118" s="2"/>
      <c r="M118" s="2"/>
      <c r="N118" s="2"/>
      <c r="O118" s="2"/>
      <c r="P118" s="2"/>
      <c r="Q118" s="2"/>
      <c r="R118" s="2"/>
      <c r="S118" s="2"/>
      <c r="T118" s="2"/>
      <c r="U118" s="2"/>
      <c r="V118" s="2"/>
    </row>
    <row r="119" ht="15.75" customHeight="1">
      <c r="A119" s="2"/>
      <c r="B119" s="2"/>
      <c r="C119" s="2"/>
      <c r="D119" s="2"/>
      <c r="E119" s="2"/>
      <c r="F119" s="2"/>
      <c r="G119" s="2"/>
      <c r="H119" s="2"/>
      <c r="I119" s="2"/>
      <c r="J119" s="2"/>
      <c r="K119" s="2"/>
      <c r="L119" s="2"/>
      <c r="M119" s="2"/>
      <c r="N119" s="2"/>
      <c r="O119" s="2"/>
      <c r="P119" s="2"/>
      <c r="Q119" s="2"/>
      <c r="R119" s="2"/>
      <c r="S119" s="2"/>
      <c r="T119" s="2"/>
      <c r="U119" s="2"/>
      <c r="V119" s="2"/>
    </row>
    <row r="120" ht="15.75" customHeight="1">
      <c r="A120" s="2"/>
      <c r="B120" s="2"/>
      <c r="C120" s="2"/>
      <c r="D120" s="2"/>
      <c r="E120" s="2"/>
      <c r="F120" s="2"/>
      <c r="G120" s="2"/>
      <c r="H120" s="2"/>
      <c r="I120" s="2"/>
      <c r="J120" s="2"/>
      <c r="K120" s="2"/>
      <c r="L120" s="2"/>
      <c r="M120" s="2"/>
      <c r="N120" s="2"/>
      <c r="O120" s="2"/>
      <c r="P120" s="2"/>
      <c r="Q120" s="2"/>
      <c r="R120" s="2"/>
      <c r="S120" s="2"/>
      <c r="T120" s="2"/>
      <c r="U120" s="2"/>
      <c r="V120" s="2"/>
    </row>
    <row r="121" ht="15.75" customHeight="1">
      <c r="A121" s="2"/>
      <c r="B121" s="2"/>
      <c r="C121" s="2"/>
      <c r="D121" s="2"/>
      <c r="E121" s="2"/>
      <c r="F121" s="2"/>
      <c r="G121" s="2"/>
      <c r="H121" s="2"/>
      <c r="I121" s="2"/>
      <c r="J121" s="2"/>
      <c r="K121" s="2"/>
      <c r="L121" s="2"/>
      <c r="M121" s="2"/>
      <c r="N121" s="2"/>
      <c r="O121" s="2"/>
      <c r="P121" s="2"/>
      <c r="Q121" s="2"/>
      <c r="R121" s="2"/>
      <c r="S121" s="2"/>
      <c r="T121" s="2"/>
      <c r="U121" s="2"/>
      <c r="V121" s="2"/>
    </row>
    <row r="122" ht="15.75" customHeight="1">
      <c r="A122" s="2"/>
      <c r="B122" s="2"/>
      <c r="C122" s="2"/>
      <c r="D122" s="2"/>
      <c r="E122" s="2"/>
      <c r="F122" s="2"/>
      <c r="G122" s="2"/>
      <c r="H122" s="2"/>
      <c r="I122" s="2"/>
      <c r="J122" s="2"/>
      <c r="K122" s="2"/>
      <c r="L122" s="2"/>
      <c r="M122" s="2"/>
      <c r="N122" s="2"/>
      <c r="O122" s="2"/>
      <c r="P122" s="2"/>
      <c r="Q122" s="2"/>
      <c r="R122" s="2"/>
      <c r="S122" s="2"/>
      <c r="T122" s="2"/>
      <c r="U122" s="2"/>
      <c r="V122" s="2"/>
    </row>
    <row r="123" ht="15.75" customHeight="1">
      <c r="A123" s="2"/>
      <c r="B123" s="2"/>
      <c r="C123" s="2"/>
      <c r="D123" s="2"/>
      <c r="E123" s="2"/>
      <c r="F123" s="2"/>
      <c r="G123" s="2"/>
      <c r="H123" s="2"/>
      <c r="I123" s="2"/>
      <c r="J123" s="2"/>
      <c r="K123" s="2"/>
      <c r="L123" s="2"/>
      <c r="M123" s="2"/>
      <c r="N123" s="2"/>
      <c r="O123" s="2"/>
      <c r="P123" s="2"/>
      <c r="Q123" s="2"/>
      <c r="R123" s="2"/>
      <c r="S123" s="2"/>
      <c r="T123" s="2"/>
      <c r="U123" s="2"/>
      <c r="V123" s="2"/>
    </row>
    <row r="124" ht="15.75" customHeight="1">
      <c r="A124" s="2"/>
      <c r="B124" s="2"/>
      <c r="C124" s="2"/>
      <c r="D124" s="2"/>
      <c r="E124" s="2"/>
      <c r="F124" s="2"/>
      <c r="G124" s="2"/>
      <c r="H124" s="2"/>
      <c r="I124" s="2"/>
      <c r="J124" s="2"/>
      <c r="K124" s="2"/>
      <c r="L124" s="2"/>
      <c r="M124" s="2"/>
      <c r="N124" s="2"/>
      <c r="O124" s="2"/>
      <c r="P124" s="2"/>
      <c r="Q124" s="2"/>
      <c r="R124" s="2"/>
      <c r="S124" s="2"/>
      <c r="T124" s="2"/>
      <c r="U124" s="2"/>
      <c r="V124" s="2"/>
    </row>
    <row r="125" ht="15.75" customHeight="1">
      <c r="A125" s="2"/>
      <c r="B125" s="2"/>
      <c r="C125" s="2"/>
      <c r="D125" s="2"/>
      <c r="E125" s="2"/>
      <c r="F125" s="2"/>
      <c r="G125" s="2"/>
      <c r="H125" s="2"/>
      <c r="I125" s="2"/>
      <c r="J125" s="2"/>
      <c r="K125" s="2"/>
      <c r="L125" s="2"/>
      <c r="M125" s="2"/>
      <c r="N125" s="2"/>
      <c r="O125" s="2"/>
      <c r="P125" s="2"/>
      <c r="Q125" s="2"/>
      <c r="R125" s="2"/>
      <c r="S125" s="2"/>
      <c r="T125" s="2"/>
      <c r="U125" s="2"/>
      <c r="V125" s="2"/>
    </row>
    <row r="126" ht="15.75" customHeight="1">
      <c r="A126" s="2"/>
      <c r="B126" s="2"/>
      <c r="C126" s="2"/>
      <c r="D126" s="2"/>
      <c r="E126" s="2"/>
      <c r="F126" s="2"/>
      <c r="G126" s="2"/>
      <c r="H126" s="2"/>
      <c r="I126" s="2"/>
      <c r="J126" s="2"/>
      <c r="K126" s="2"/>
      <c r="L126" s="2"/>
      <c r="M126" s="2"/>
      <c r="N126" s="2"/>
      <c r="O126" s="2"/>
      <c r="P126" s="2"/>
      <c r="Q126" s="2"/>
      <c r="R126" s="2"/>
      <c r="S126" s="2"/>
      <c r="T126" s="2"/>
      <c r="U126" s="2"/>
      <c r="V126" s="2"/>
    </row>
    <row r="127" ht="15.75" customHeight="1">
      <c r="A127" s="2"/>
      <c r="B127" s="2"/>
      <c r="C127" s="2"/>
      <c r="D127" s="2"/>
      <c r="E127" s="2"/>
      <c r="F127" s="2"/>
      <c r="G127" s="2"/>
      <c r="H127" s="2"/>
      <c r="I127" s="2"/>
      <c r="J127" s="2"/>
      <c r="K127" s="2"/>
      <c r="L127" s="2"/>
      <c r="M127" s="2"/>
      <c r="N127" s="2"/>
      <c r="O127" s="2"/>
      <c r="P127" s="2"/>
      <c r="Q127" s="2"/>
      <c r="R127" s="2"/>
      <c r="S127" s="2"/>
      <c r="T127" s="2"/>
      <c r="U127" s="2"/>
      <c r="V127" s="2"/>
    </row>
    <row r="128" ht="15.75" customHeight="1">
      <c r="A128" s="2"/>
      <c r="B128" s="2"/>
      <c r="C128" s="2"/>
      <c r="D128" s="2"/>
      <c r="E128" s="2"/>
      <c r="F128" s="2"/>
      <c r="G128" s="2"/>
      <c r="H128" s="2"/>
      <c r="I128" s="2"/>
      <c r="J128" s="2"/>
      <c r="K128" s="2"/>
      <c r="L128" s="2"/>
      <c r="M128" s="2"/>
      <c r="N128" s="2"/>
      <c r="O128" s="2"/>
      <c r="P128" s="2"/>
      <c r="Q128" s="2"/>
      <c r="R128" s="2"/>
      <c r="S128" s="2"/>
      <c r="T128" s="2"/>
      <c r="U128" s="2"/>
      <c r="V128" s="2"/>
    </row>
    <row r="129" ht="15.75" customHeight="1">
      <c r="A129" s="2"/>
      <c r="B129" s="2"/>
      <c r="C129" s="2"/>
      <c r="D129" s="2"/>
      <c r="E129" s="2"/>
      <c r="F129" s="2"/>
      <c r="G129" s="2"/>
      <c r="H129" s="2"/>
      <c r="I129" s="2"/>
      <c r="J129" s="2"/>
      <c r="K129" s="2"/>
      <c r="L129" s="2"/>
      <c r="M129" s="2"/>
      <c r="N129" s="2"/>
      <c r="O129" s="2"/>
      <c r="P129" s="2"/>
      <c r="Q129" s="2"/>
      <c r="R129" s="2"/>
      <c r="S129" s="2"/>
      <c r="T129" s="2"/>
      <c r="U129" s="2"/>
      <c r="V129" s="2"/>
    </row>
    <row r="130" ht="15.75" customHeight="1">
      <c r="A130" s="2"/>
      <c r="B130" s="2"/>
      <c r="C130" s="2"/>
      <c r="D130" s="2"/>
      <c r="E130" s="2"/>
      <c r="F130" s="2"/>
      <c r="G130" s="2"/>
      <c r="H130" s="2"/>
      <c r="I130" s="2"/>
      <c r="J130" s="2"/>
      <c r="K130" s="2"/>
      <c r="L130" s="2"/>
      <c r="M130" s="2"/>
      <c r="N130" s="2"/>
      <c r="O130" s="2"/>
      <c r="P130" s="2"/>
      <c r="Q130" s="2"/>
      <c r="R130" s="2"/>
      <c r="S130" s="2"/>
      <c r="T130" s="2"/>
      <c r="U130" s="2"/>
      <c r="V130" s="2"/>
    </row>
    <row r="131" ht="15.75" customHeight="1">
      <c r="A131" s="2"/>
      <c r="B131" s="2"/>
      <c r="C131" s="2"/>
      <c r="D131" s="2"/>
      <c r="E131" s="2"/>
      <c r="F131" s="2"/>
      <c r="G131" s="2"/>
      <c r="H131" s="2"/>
      <c r="I131" s="2"/>
      <c r="J131" s="2"/>
      <c r="K131" s="2"/>
      <c r="L131" s="2"/>
      <c r="M131" s="2"/>
      <c r="N131" s="2"/>
      <c r="O131" s="2"/>
      <c r="P131" s="2"/>
      <c r="Q131" s="2"/>
      <c r="R131" s="2"/>
      <c r="S131" s="2"/>
      <c r="T131" s="2"/>
      <c r="U131" s="2"/>
      <c r="V131" s="2"/>
    </row>
    <row r="132" ht="15.75" customHeight="1">
      <c r="A132" s="2"/>
      <c r="B132" s="2"/>
      <c r="C132" s="2"/>
      <c r="D132" s="2"/>
      <c r="E132" s="2"/>
      <c r="F132" s="2"/>
      <c r="G132" s="2"/>
      <c r="H132" s="2"/>
      <c r="I132" s="2"/>
      <c r="J132" s="2"/>
      <c r="K132" s="2"/>
      <c r="L132" s="2"/>
      <c r="M132" s="2"/>
      <c r="N132" s="2"/>
      <c r="O132" s="2"/>
      <c r="P132" s="2"/>
      <c r="Q132" s="2"/>
      <c r="R132" s="2"/>
      <c r="S132" s="2"/>
      <c r="T132" s="2"/>
      <c r="U132" s="2"/>
      <c r="V132" s="2"/>
    </row>
    <row r="133" ht="15.75" customHeight="1">
      <c r="A133" s="2"/>
      <c r="B133" s="2"/>
      <c r="C133" s="2"/>
      <c r="D133" s="2"/>
      <c r="E133" s="2"/>
      <c r="F133" s="2"/>
      <c r="G133" s="2"/>
      <c r="H133" s="2"/>
      <c r="I133" s="2"/>
      <c r="J133" s="2"/>
      <c r="K133" s="2"/>
      <c r="L133" s="2"/>
      <c r="M133" s="2"/>
      <c r="N133" s="2"/>
      <c r="O133" s="2"/>
      <c r="P133" s="2"/>
      <c r="Q133" s="2"/>
      <c r="R133" s="2"/>
      <c r="S133" s="2"/>
      <c r="T133" s="2"/>
      <c r="U133" s="2"/>
      <c r="V133" s="2"/>
    </row>
    <row r="134" ht="15.75" customHeight="1">
      <c r="A134" s="2"/>
      <c r="B134" s="2"/>
      <c r="C134" s="2"/>
      <c r="D134" s="2"/>
      <c r="E134" s="2"/>
      <c r="F134" s="2"/>
      <c r="G134" s="2"/>
      <c r="H134" s="2"/>
      <c r="I134" s="2"/>
      <c r="J134" s="2"/>
      <c r="K134" s="2"/>
      <c r="L134" s="2"/>
      <c r="M134" s="2"/>
      <c r="N134" s="2"/>
      <c r="O134" s="2"/>
      <c r="P134" s="2"/>
      <c r="Q134" s="2"/>
      <c r="R134" s="2"/>
      <c r="S134" s="2"/>
      <c r="T134" s="2"/>
      <c r="U134" s="2"/>
      <c r="V134" s="2"/>
    </row>
    <row r="135" ht="15.75" customHeight="1">
      <c r="A135" s="2"/>
      <c r="B135" s="2"/>
      <c r="C135" s="2"/>
      <c r="D135" s="2"/>
      <c r="E135" s="2"/>
      <c r="F135" s="2"/>
      <c r="G135" s="2"/>
      <c r="H135" s="2"/>
      <c r="I135" s="2"/>
      <c r="J135" s="2"/>
      <c r="K135" s="2"/>
      <c r="L135" s="2"/>
      <c r="M135" s="2"/>
      <c r="N135" s="2"/>
      <c r="O135" s="2"/>
      <c r="P135" s="2"/>
      <c r="Q135" s="2"/>
      <c r="R135" s="2"/>
      <c r="S135" s="2"/>
      <c r="T135" s="2"/>
      <c r="U135" s="2"/>
      <c r="V135" s="2"/>
    </row>
    <row r="136" ht="15.75" customHeight="1">
      <c r="A136" s="2"/>
      <c r="B136" s="2"/>
      <c r="C136" s="2"/>
      <c r="D136" s="2"/>
      <c r="E136" s="2"/>
      <c r="F136" s="2"/>
      <c r="G136" s="2"/>
      <c r="H136" s="2"/>
      <c r="I136" s="2"/>
      <c r="J136" s="2"/>
      <c r="K136" s="2"/>
      <c r="L136" s="2"/>
      <c r="M136" s="2"/>
      <c r="N136" s="2"/>
      <c r="O136" s="2"/>
      <c r="P136" s="2"/>
      <c r="Q136" s="2"/>
      <c r="R136" s="2"/>
      <c r="S136" s="2"/>
      <c r="T136" s="2"/>
      <c r="U136" s="2"/>
      <c r="V136" s="2"/>
    </row>
    <row r="137" ht="15.75" customHeight="1">
      <c r="A137" s="2"/>
      <c r="B137" s="2"/>
      <c r="C137" s="2"/>
      <c r="D137" s="2"/>
      <c r="E137" s="2"/>
      <c r="F137" s="2"/>
      <c r="G137" s="2"/>
      <c r="H137" s="2"/>
      <c r="I137" s="2"/>
      <c r="J137" s="2"/>
      <c r="K137" s="2"/>
      <c r="L137" s="2"/>
      <c r="M137" s="2"/>
      <c r="N137" s="2"/>
      <c r="O137" s="2"/>
      <c r="P137" s="2"/>
      <c r="Q137" s="2"/>
      <c r="R137" s="2"/>
      <c r="S137" s="2"/>
      <c r="T137" s="2"/>
      <c r="U137" s="2"/>
      <c r="V137" s="2"/>
    </row>
    <row r="138" ht="15.75" customHeight="1">
      <c r="A138" s="2"/>
      <c r="B138" s="2"/>
      <c r="C138" s="2"/>
      <c r="D138" s="2"/>
      <c r="E138" s="2"/>
      <c r="F138" s="2"/>
      <c r="G138" s="2"/>
      <c r="H138" s="2"/>
      <c r="I138" s="2"/>
      <c r="J138" s="2"/>
      <c r="K138" s="2"/>
      <c r="L138" s="2"/>
      <c r="M138" s="2"/>
      <c r="N138" s="2"/>
      <c r="O138" s="2"/>
      <c r="P138" s="2"/>
      <c r="Q138" s="2"/>
      <c r="R138" s="2"/>
      <c r="S138" s="2"/>
      <c r="T138" s="2"/>
      <c r="U138" s="2"/>
      <c r="V138" s="2"/>
    </row>
    <row r="139" ht="15.75" customHeight="1">
      <c r="A139" s="2"/>
      <c r="B139" s="2"/>
      <c r="C139" s="2"/>
      <c r="D139" s="2"/>
      <c r="E139" s="2"/>
      <c r="F139" s="2"/>
      <c r="G139" s="2"/>
      <c r="H139" s="2"/>
      <c r="I139" s="2"/>
      <c r="J139" s="2"/>
      <c r="K139" s="2"/>
      <c r="L139" s="2"/>
      <c r="M139" s="2"/>
      <c r="N139" s="2"/>
      <c r="O139" s="2"/>
      <c r="P139" s="2"/>
      <c r="Q139" s="2"/>
      <c r="R139" s="2"/>
      <c r="S139" s="2"/>
      <c r="T139" s="2"/>
      <c r="U139" s="2"/>
      <c r="V139" s="2"/>
    </row>
    <row r="140" ht="15.75" customHeight="1">
      <c r="A140" s="2"/>
      <c r="B140" s="2"/>
      <c r="C140" s="2"/>
      <c r="D140" s="2"/>
      <c r="E140" s="2"/>
      <c r="F140" s="2"/>
      <c r="G140" s="2"/>
      <c r="H140" s="2"/>
      <c r="I140" s="2"/>
      <c r="J140" s="2"/>
      <c r="K140" s="2"/>
      <c r="L140" s="2"/>
      <c r="M140" s="2"/>
      <c r="N140" s="2"/>
      <c r="O140" s="2"/>
      <c r="P140" s="2"/>
      <c r="Q140" s="2"/>
      <c r="R140" s="2"/>
      <c r="S140" s="2"/>
      <c r="T140" s="2"/>
      <c r="U140" s="2"/>
      <c r="V140" s="2"/>
    </row>
    <row r="141" ht="15.75" customHeight="1">
      <c r="A141" s="2"/>
      <c r="B141" s="2"/>
      <c r="C141" s="2"/>
      <c r="D141" s="2"/>
      <c r="E141" s="2"/>
      <c r="F141" s="2"/>
      <c r="G141" s="2"/>
      <c r="H141" s="2"/>
      <c r="I141" s="2"/>
      <c r="J141" s="2"/>
      <c r="K141" s="2"/>
      <c r="L141" s="2"/>
      <c r="M141" s="2"/>
      <c r="N141" s="2"/>
      <c r="O141" s="2"/>
      <c r="P141" s="2"/>
      <c r="Q141" s="2"/>
      <c r="R141" s="2"/>
      <c r="S141" s="2"/>
      <c r="T141" s="2"/>
      <c r="U141" s="2"/>
      <c r="V141" s="2"/>
    </row>
    <row r="142" ht="15.75" customHeight="1">
      <c r="A142" s="2"/>
      <c r="B142" s="2"/>
      <c r="C142" s="2"/>
      <c r="D142" s="2"/>
      <c r="E142" s="2"/>
      <c r="F142" s="2"/>
      <c r="G142" s="2"/>
      <c r="H142" s="2"/>
      <c r="I142" s="2"/>
      <c r="J142" s="2"/>
      <c r="K142" s="2"/>
      <c r="L142" s="2"/>
      <c r="M142" s="2"/>
      <c r="N142" s="2"/>
      <c r="O142" s="2"/>
      <c r="P142" s="2"/>
      <c r="Q142" s="2"/>
      <c r="R142" s="2"/>
      <c r="S142" s="2"/>
      <c r="T142" s="2"/>
      <c r="U142" s="2"/>
      <c r="V142" s="2"/>
    </row>
    <row r="143" ht="15.75" customHeight="1">
      <c r="A143" s="2"/>
      <c r="B143" s="2"/>
      <c r="C143" s="2"/>
      <c r="D143" s="2"/>
      <c r="E143" s="2"/>
      <c r="F143" s="2"/>
      <c r="G143" s="2"/>
      <c r="H143" s="2"/>
      <c r="I143" s="2"/>
      <c r="J143" s="2"/>
      <c r="K143" s="2"/>
      <c r="L143" s="2"/>
      <c r="M143" s="2"/>
      <c r="N143" s="2"/>
      <c r="O143" s="2"/>
      <c r="P143" s="2"/>
      <c r="Q143" s="2"/>
      <c r="R143" s="2"/>
      <c r="S143" s="2"/>
      <c r="T143" s="2"/>
      <c r="U143" s="2"/>
      <c r="V143" s="2"/>
    </row>
    <row r="144" ht="15.75" customHeight="1">
      <c r="A144" s="2"/>
      <c r="B144" s="2"/>
      <c r="C144" s="2"/>
      <c r="D144" s="2"/>
      <c r="E144" s="2"/>
      <c r="F144" s="2"/>
      <c r="G144" s="2"/>
      <c r="H144" s="2"/>
      <c r="I144" s="2"/>
      <c r="J144" s="2"/>
      <c r="K144" s="2"/>
      <c r="L144" s="2"/>
      <c r="M144" s="2"/>
      <c r="N144" s="2"/>
      <c r="O144" s="2"/>
      <c r="P144" s="2"/>
      <c r="Q144" s="2"/>
      <c r="R144" s="2"/>
      <c r="S144" s="2"/>
      <c r="T144" s="2"/>
      <c r="U144" s="2"/>
      <c r="V144" s="2"/>
    </row>
    <row r="145" ht="15.75" customHeight="1">
      <c r="A145" s="2"/>
      <c r="B145" s="2"/>
      <c r="C145" s="2"/>
      <c r="D145" s="2"/>
      <c r="E145" s="2"/>
      <c r="F145" s="2"/>
      <c r="G145" s="2"/>
      <c r="H145" s="2"/>
      <c r="I145" s="2"/>
      <c r="J145" s="2"/>
      <c r="K145" s="2"/>
      <c r="L145" s="2"/>
      <c r="M145" s="2"/>
      <c r="N145" s="2"/>
      <c r="O145" s="2"/>
      <c r="P145" s="2"/>
      <c r="Q145" s="2"/>
      <c r="R145" s="2"/>
      <c r="S145" s="2"/>
      <c r="T145" s="2"/>
      <c r="U145" s="2"/>
      <c r="V145" s="2"/>
    </row>
    <row r="146" ht="15.75" customHeight="1">
      <c r="A146" s="2"/>
      <c r="B146" s="2"/>
      <c r="C146" s="2"/>
      <c r="D146" s="2"/>
      <c r="E146" s="2"/>
      <c r="F146" s="2"/>
      <c r="G146" s="2"/>
      <c r="H146" s="2"/>
      <c r="I146" s="2"/>
      <c r="J146" s="2"/>
      <c r="K146" s="2"/>
      <c r="L146" s="2"/>
      <c r="M146" s="2"/>
      <c r="N146" s="2"/>
      <c r="O146" s="2"/>
      <c r="P146" s="2"/>
      <c r="Q146" s="2"/>
      <c r="R146" s="2"/>
      <c r="S146" s="2"/>
      <c r="T146" s="2"/>
      <c r="U146" s="2"/>
      <c r="V146" s="2"/>
    </row>
    <row r="147" ht="15.75" customHeight="1">
      <c r="A147" s="2"/>
      <c r="B147" s="2"/>
      <c r="C147" s="2"/>
      <c r="D147" s="2"/>
      <c r="E147" s="2"/>
      <c r="F147" s="2"/>
      <c r="G147" s="2"/>
      <c r="H147" s="2"/>
      <c r="I147" s="2"/>
      <c r="J147" s="2"/>
      <c r="K147" s="2"/>
      <c r="L147" s="2"/>
      <c r="M147" s="2"/>
      <c r="N147" s="2"/>
      <c r="O147" s="2"/>
      <c r="P147" s="2"/>
      <c r="Q147" s="2"/>
      <c r="R147" s="2"/>
      <c r="S147" s="2"/>
      <c r="T147" s="2"/>
      <c r="U147" s="2"/>
      <c r="V147" s="2"/>
    </row>
    <row r="148" ht="15.75" customHeight="1">
      <c r="A148" s="2"/>
      <c r="B148" s="2"/>
      <c r="C148" s="2"/>
      <c r="D148" s="2"/>
      <c r="E148" s="2"/>
      <c r="F148" s="2"/>
      <c r="G148" s="2"/>
      <c r="H148" s="2"/>
      <c r="I148" s="2"/>
      <c r="J148" s="2"/>
      <c r="K148" s="2"/>
      <c r="L148" s="2"/>
      <c r="M148" s="2"/>
      <c r="N148" s="2"/>
      <c r="O148" s="2"/>
      <c r="P148" s="2"/>
      <c r="Q148" s="2"/>
      <c r="R148" s="2"/>
      <c r="S148" s="2"/>
      <c r="T148" s="2"/>
      <c r="U148" s="2"/>
      <c r="V148" s="2"/>
    </row>
    <row r="149" ht="15.75" customHeight="1">
      <c r="A149" s="2"/>
      <c r="B149" s="2"/>
      <c r="C149" s="2"/>
      <c r="D149" s="2"/>
      <c r="E149" s="2"/>
      <c r="F149" s="2"/>
      <c r="G149" s="2"/>
      <c r="H149" s="2"/>
      <c r="I149" s="2"/>
      <c r="J149" s="2"/>
      <c r="K149" s="2"/>
      <c r="L149" s="2"/>
      <c r="M149" s="2"/>
      <c r="N149" s="2"/>
      <c r="O149" s="2"/>
      <c r="P149" s="2"/>
      <c r="Q149" s="2"/>
      <c r="R149" s="2"/>
      <c r="S149" s="2"/>
      <c r="T149" s="2"/>
      <c r="U149" s="2"/>
      <c r="V149" s="2"/>
    </row>
    <row r="150" ht="15.75" customHeight="1">
      <c r="A150" s="2"/>
      <c r="B150" s="2"/>
      <c r="C150" s="2"/>
      <c r="D150" s="2"/>
      <c r="E150" s="2"/>
      <c r="F150" s="2"/>
      <c r="G150" s="2"/>
      <c r="H150" s="2"/>
      <c r="I150" s="2"/>
      <c r="J150" s="2"/>
      <c r="K150" s="2"/>
      <c r="L150" s="2"/>
      <c r="M150" s="2"/>
      <c r="N150" s="2"/>
      <c r="O150" s="2"/>
      <c r="P150" s="2"/>
      <c r="Q150" s="2"/>
      <c r="R150" s="2"/>
      <c r="S150" s="2"/>
      <c r="T150" s="2"/>
      <c r="U150" s="2"/>
      <c r="V150" s="2"/>
    </row>
    <row r="151" ht="15.75" customHeight="1">
      <c r="A151" s="2"/>
      <c r="B151" s="2"/>
      <c r="C151" s="2"/>
      <c r="D151" s="2"/>
      <c r="E151" s="2"/>
      <c r="F151" s="2"/>
      <c r="G151" s="2"/>
      <c r="H151" s="2"/>
      <c r="I151" s="2"/>
      <c r="J151" s="2"/>
      <c r="K151" s="2"/>
      <c r="L151" s="2"/>
      <c r="M151" s="2"/>
      <c r="N151" s="2"/>
      <c r="O151" s="2"/>
      <c r="P151" s="2"/>
      <c r="Q151" s="2"/>
      <c r="R151" s="2"/>
      <c r="S151" s="2"/>
      <c r="T151" s="2"/>
      <c r="U151" s="2"/>
      <c r="V151" s="2"/>
    </row>
    <row r="152" ht="15.75" customHeight="1">
      <c r="A152" s="2"/>
      <c r="B152" s="2"/>
      <c r="C152" s="2"/>
      <c r="D152" s="2"/>
      <c r="E152" s="2"/>
      <c r="F152" s="2"/>
      <c r="G152" s="2"/>
      <c r="H152" s="2"/>
      <c r="I152" s="2"/>
      <c r="J152" s="2"/>
      <c r="K152" s="2"/>
      <c r="L152" s="2"/>
      <c r="M152" s="2"/>
      <c r="N152" s="2"/>
      <c r="O152" s="2"/>
      <c r="P152" s="2"/>
      <c r="Q152" s="2"/>
      <c r="R152" s="2"/>
      <c r="S152" s="2"/>
      <c r="T152" s="2"/>
      <c r="U152" s="2"/>
      <c r="V152" s="2"/>
    </row>
    <row r="153" ht="15.75" customHeight="1">
      <c r="A153" s="2"/>
      <c r="B153" s="2"/>
      <c r="C153" s="2"/>
      <c r="D153" s="2"/>
      <c r="E153" s="2"/>
      <c r="F153" s="2"/>
      <c r="G153" s="2"/>
      <c r="H153" s="2"/>
      <c r="I153" s="2"/>
      <c r="J153" s="2"/>
      <c r="K153" s="2"/>
      <c r="L153" s="2"/>
      <c r="M153" s="2"/>
      <c r="N153" s="2"/>
      <c r="O153" s="2"/>
      <c r="P153" s="2"/>
      <c r="Q153" s="2"/>
      <c r="R153" s="2"/>
      <c r="S153" s="2"/>
      <c r="T153" s="2"/>
      <c r="U153" s="2"/>
      <c r="V153" s="2"/>
    </row>
    <row r="154" ht="15.75" customHeight="1">
      <c r="A154" s="2"/>
      <c r="B154" s="2"/>
      <c r="C154" s="2"/>
      <c r="D154" s="2"/>
      <c r="E154" s="2"/>
      <c r="F154" s="2"/>
      <c r="G154" s="2"/>
      <c r="H154" s="2"/>
      <c r="I154" s="2"/>
      <c r="J154" s="2"/>
      <c r="K154" s="2"/>
      <c r="L154" s="2"/>
      <c r="M154" s="2"/>
      <c r="N154" s="2"/>
      <c r="O154" s="2"/>
      <c r="P154" s="2"/>
      <c r="Q154" s="2"/>
      <c r="R154" s="2"/>
      <c r="S154" s="2"/>
      <c r="T154" s="2"/>
      <c r="U154" s="2"/>
      <c r="V154" s="2"/>
    </row>
    <row r="155" ht="15.75" customHeight="1">
      <c r="A155" s="2"/>
      <c r="B155" s="2"/>
      <c r="C155" s="2"/>
      <c r="D155" s="2"/>
      <c r="E155" s="2"/>
      <c r="F155" s="2"/>
      <c r="G155" s="2"/>
      <c r="H155" s="2"/>
      <c r="I155" s="2"/>
      <c r="J155" s="2"/>
      <c r="K155" s="2"/>
      <c r="L155" s="2"/>
      <c r="M155" s="2"/>
      <c r="N155" s="2"/>
      <c r="O155" s="2"/>
      <c r="P155" s="2"/>
      <c r="Q155" s="2"/>
      <c r="R155" s="2"/>
      <c r="S155" s="2"/>
      <c r="T155" s="2"/>
      <c r="U155" s="2"/>
      <c r="V155" s="2"/>
    </row>
    <row r="156" ht="15.75" customHeight="1">
      <c r="A156" s="2"/>
      <c r="B156" s="2"/>
      <c r="C156" s="2"/>
      <c r="D156" s="2"/>
      <c r="E156" s="2"/>
      <c r="F156" s="2"/>
      <c r="G156" s="2"/>
      <c r="H156" s="2"/>
      <c r="I156" s="2"/>
      <c r="J156" s="2"/>
      <c r="K156" s="2"/>
      <c r="L156" s="2"/>
      <c r="M156" s="2"/>
      <c r="N156" s="2"/>
      <c r="O156" s="2"/>
      <c r="P156" s="2"/>
      <c r="Q156" s="2"/>
      <c r="R156" s="2"/>
      <c r="S156" s="2"/>
      <c r="T156" s="2"/>
      <c r="U156" s="2"/>
      <c r="V156" s="2"/>
    </row>
    <row r="157" ht="15.75" customHeight="1">
      <c r="A157" s="2"/>
      <c r="B157" s="2"/>
      <c r="C157" s="2"/>
      <c r="D157" s="2"/>
      <c r="E157" s="2"/>
      <c r="F157" s="2"/>
      <c r="G157" s="2"/>
      <c r="H157" s="2"/>
      <c r="I157" s="2"/>
      <c r="J157" s="2"/>
      <c r="K157" s="2"/>
      <c r="L157" s="2"/>
      <c r="M157" s="2"/>
      <c r="N157" s="2"/>
      <c r="O157" s="2"/>
      <c r="P157" s="2"/>
      <c r="Q157" s="2"/>
      <c r="R157" s="2"/>
      <c r="S157" s="2"/>
      <c r="T157" s="2"/>
      <c r="U157" s="2"/>
      <c r="V157" s="2"/>
    </row>
    <row r="158" ht="15.75" customHeight="1">
      <c r="A158" s="2"/>
      <c r="B158" s="2"/>
      <c r="C158" s="2"/>
      <c r="D158" s="2"/>
      <c r="E158" s="2"/>
      <c r="F158" s="2"/>
      <c r="G158" s="2"/>
      <c r="H158" s="2"/>
      <c r="I158" s="2"/>
      <c r="J158" s="2"/>
      <c r="K158" s="2"/>
      <c r="L158" s="2"/>
      <c r="M158" s="2"/>
      <c r="N158" s="2"/>
      <c r="O158" s="2"/>
      <c r="P158" s="2"/>
      <c r="Q158" s="2"/>
      <c r="R158" s="2"/>
      <c r="S158" s="2"/>
      <c r="T158" s="2"/>
      <c r="U158" s="2"/>
      <c r="V158" s="2"/>
    </row>
    <row r="159" ht="15.75" customHeight="1">
      <c r="A159" s="2"/>
      <c r="B159" s="2"/>
      <c r="C159" s="2"/>
      <c r="D159" s="2"/>
      <c r="E159" s="2"/>
      <c r="F159" s="2"/>
      <c r="G159" s="2"/>
      <c r="H159" s="2"/>
      <c r="I159" s="2"/>
      <c r="J159" s="2"/>
      <c r="K159" s="2"/>
      <c r="L159" s="2"/>
      <c r="M159" s="2"/>
      <c r="N159" s="2"/>
      <c r="O159" s="2"/>
      <c r="P159" s="2"/>
      <c r="Q159" s="2"/>
      <c r="R159" s="2"/>
      <c r="S159" s="2"/>
      <c r="T159" s="2"/>
      <c r="U159" s="2"/>
      <c r="V159" s="2"/>
    </row>
    <row r="160" ht="15.75" customHeight="1">
      <c r="A160" s="2"/>
      <c r="B160" s="2"/>
      <c r="C160" s="2"/>
      <c r="D160" s="2"/>
      <c r="E160" s="2"/>
      <c r="F160" s="2"/>
      <c r="G160" s="2"/>
      <c r="H160" s="2"/>
      <c r="I160" s="2"/>
      <c r="J160" s="2"/>
      <c r="K160" s="2"/>
      <c r="L160" s="2"/>
      <c r="M160" s="2"/>
      <c r="N160" s="2"/>
      <c r="O160" s="2"/>
      <c r="P160" s="2"/>
      <c r="Q160" s="2"/>
      <c r="R160" s="2"/>
      <c r="S160" s="2"/>
      <c r="T160" s="2"/>
      <c r="U160" s="2"/>
      <c r="V160" s="2"/>
    </row>
    <row r="161" ht="15.75" customHeight="1">
      <c r="A161" s="2"/>
      <c r="B161" s="2"/>
      <c r="C161" s="2"/>
      <c r="D161" s="2"/>
      <c r="E161" s="2"/>
      <c r="F161" s="2"/>
      <c r="G161" s="2"/>
      <c r="H161" s="2"/>
      <c r="I161" s="2"/>
      <c r="J161" s="2"/>
      <c r="K161" s="2"/>
      <c r="L161" s="2"/>
      <c r="M161" s="2"/>
      <c r="N161" s="2"/>
      <c r="O161" s="2"/>
      <c r="P161" s="2"/>
      <c r="Q161" s="2"/>
      <c r="R161" s="2"/>
      <c r="S161" s="2"/>
      <c r="T161" s="2"/>
      <c r="U161" s="2"/>
      <c r="V161" s="2"/>
    </row>
    <row r="162" ht="15.75" customHeight="1">
      <c r="A162" s="2"/>
      <c r="B162" s="2"/>
      <c r="C162" s="2"/>
      <c r="D162" s="2"/>
      <c r="E162" s="2"/>
      <c r="F162" s="2"/>
      <c r="G162" s="2"/>
      <c r="H162" s="2"/>
      <c r="I162" s="2"/>
      <c r="J162" s="2"/>
      <c r="K162" s="2"/>
      <c r="L162" s="2"/>
      <c r="M162" s="2"/>
      <c r="N162" s="2"/>
      <c r="O162" s="2"/>
      <c r="P162" s="2"/>
      <c r="Q162" s="2"/>
      <c r="R162" s="2"/>
      <c r="S162" s="2"/>
      <c r="T162" s="2"/>
      <c r="U162" s="2"/>
      <c r="V162" s="2"/>
    </row>
    <row r="163" ht="15.75" customHeight="1">
      <c r="A163" s="2"/>
      <c r="B163" s="2"/>
      <c r="C163" s="2"/>
      <c r="D163" s="2"/>
      <c r="E163" s="2"/>
      <c r="F163" s="2"/>
      <c r="G163" s="2"/>
      <c r="H163" s="2"/>
      <c r="I163" s="2"/>
      <c r="J163" s="2"/>
      <c r="K163" s="2"/>
      <c r="L163" s="2"/>
      <c r="M163" s="2"/>
      <c r="N163" s="2"/>
      <c r="O163" s="2"/>
      <c r="P163" s="2"/>
      <c r="Q163" s="2"/>
      <c r="R163" s="2"/>
      <c r="S163" s="2"/>
      <c r="T163" s="2"/>
      <c r="U163" s="2"/>
      <c r="V163" s="2"/>
    </row>
    <row r="164" ht="15.75" customHeight="1">
      <c r="A164" s="2"/>
      <c r="B164" s="2"/>
      <c r="C164" s="2"/>
      <c r="D164" s="2"/>
      <c r="E164" s="2"/>
      <c r="F164" s="2"/>
      <c r="G164" s="2"/>
      <c r="H164" s="2"/>
      <c r="I164" s="2"/>
      <c r="J164" s="2"/>
      <c r="K164" s="2"/>
      <c r="L164" s="2"/>
      <c r="M164" s="2"/>
      <c r="N164" s="2"/>
      <c r="O164" s="2"/>
      <c r="P164" s="2"/>
      <c r="Q164" s="2"/>
      <c r="R164" s="2"/>
      <c r="S164" s="2"/>
      <c r="T164" s="2"/>
      <c r="U164" s="2"/>
      <c r="V164" s="2"/>
    </row>
    <row r="165" ht="15.75" customHeight="1">
      <c r="A165" s="2"/>
      <c r="B165" s="2"/>
      <c r="C165" s="2"/>
      <c r="D165" s="2"/>
      <c r="E165" s="2"/>
      <c r="F165" s="2"/>
      <c r="G165" s="2"/>
      <c r="H165" s="2"/>
      <c r="I165" s="2"/>
      <c r="J165" s="2"/>
      <c r="K165" s="2"/>
      <c r="L165" s="2"/>
      <c r="M165" s="2"/>
      <c r="N165" s="2"/>
      <c r="O165" s="2"/>
      <c r="P165" s="2"/>
      <c r="Q165" s="2"/>
      <c r="R165" s="2"/>
      <c r="S165" s="2"/>
      <c r="T165" s="2"/>
      <c r="U165" s="2"/>
      <c r="V165" s="2"/>
    </row>
    <row r="166" ht="15.75" customHeight="1">
      <c r="A166" s="2"/>
      <c r="B166" s="2"/>
      <c r="C166" s="2"/>
      <c r="D166" s="2"/>
      <c r="E166" s="2"/>
      <c r="F166" s="2"/>
      <c r="G166" s="2"/>
      <c r="H166" s="2"/>
      <c r="I166" s="2"/>
      <c r="J166" s="2"/>
      <c r="K166" s="2"/>
      <c r="L166" s="2"/>
      <c r="M166" s="2"/>
      <c r="N166" s="2"/>
      <c r="O166" s="2"/>
      <c r="P166" s="2"/>
      <c r="Q166" s="2"/>
      <c r="R166" s="2"/>
      <c r="S166" s="2"/>
      <c r="T166" s="2"/>
      <c r="U166" s="2"/>
      <c r="V166" s="2"/>
    </row>
    <row r="167" ht="15.75" customHeight="1">
      <c r="A167" s="2"/>
      <c r="B167" s="2"/>
      <c r="C167" s="2"/>
      <c r="D167" s="2"/>
      <c r="E167" s="2"/>
      <c r="F167" s="2"/>
      <c r="G167" s="2"/>
      <c r="H167" s="2"/>
      <c r="I167" s="2"/>
      <c r="J167" s="2"/>
      <c r="K167" s="2"/>
      <c r="L167" s="2"/>
      <c r="M167" s="2"/>
      <c r="N167" s="2"/>
      <c r="O167" s="2"/>
      <c r="P167" s="2"/>
      <c r="Q167" s="2"/>
      <c r="R167" s="2"/>
      <c r="S167" s="2"/>
      <c r="T167" s="2"/>
      <c r="U167" s="2"/>
      <c r="V167" s="2"/>
    </row>
    <row r="168" ht="15.75" customHeight="1">
      <c r="A168" s="2"/>
      <c r="B168" s="2"/>
      <c r="C168" s="2"/>
      <c r="D168" s="2"/>
      <c r="E168" s="2"/>
      <c r="F168" s="2"/>
      <c r="G168" s="2"/>
      <c r="H168" s="2"/>
      <c r="I168" s="2"/>
      <c r="J168" s="2"/>
      <c r="K168" s="2"/>
      <c r="L168" s="2"/>
      <c r="M168" s="2"/>
      <c r="N168" s="2"/>
      <c r="O168" s="2"/>
      <c r="P168" s="2"/>
      <c r="Q168" s="2"/>
      <c r="R168" s="2"/>
      <c r="S168" s="2"/>
      <c r="T168" s="2"/>
      <c r="U168" s="2"/>
      <c r="V168" s="2"/>
    </row>
    <row r="169" ht="15.75" customHeight="1">
      <c r="A169" s="2"/>
      <c r="B169" s="2"/>
      <c r="C169" s="2"/>
      <c r="D169" s="2"/>
      <c r="E169" s="2"/>
      <c r="F169" s="2"/>
      <c r="G169" s="2"/>
      <c r="H169" s="2"/>
      <c r="I169" s="2"/>
      <c r="J169" s="2"/>
      <c r="K169" s="2"/>
      <c r="L169" s="2"/>
      <c r="M169" s="2"/>
      <c r="N169" s="2"/>
      <c r="O169" s="2"/>
      <c r="P169" s="2"/>
      <c r="Q169" s="2"/>
      <c r="R169" s="2"/>
      <c r="S169" s="2"/>
      <c r="T169" s="2"/>
      <c r="U169" s="2"/>
      <c r="V169" s="2"/>
    </row>
    <row r="170" ht="15.75" customHeight="1">
      <c r="A170" s="2"/>
      <c r="B170" s="2"/>
      <c r="C170" s="2"/>
      <c r="D170" s="2"/>
      <c r="E170" s="2"/>
      <c r="F170" s="2"/>
      <c r="G170" s="2"/>
      <c r="H170" s="2"/>
      <c r="I170" s="2"/>
      <c r="J170" s="2"/>
      <c r="K170" s="2"/>
      <c r="L170" s="2"/>
      <c r="M170" s="2"/>
      <c r="N170" s="2"/>
      <c r="O170" s="2"/>
      <c r="P170" s="2"/>
      <c r="Q170" s="2"/>
      <c r="R170" s="2"/>
      <c r="S170" s="2"/>
      <c r="T170" s="2"/>
      <c r="U170" s="2"/>
      <c r="V170" s="2"/>
    </row>
    <row r="171" ht="15.75" customHeight="1">
      <c r="A171" s="2"/>
      <c r="B171" s="2"/>
      <c r="C171" s="2"/>
      <c r="D171" s="2"/>
      <c r="E171" s="2"/>
      <c r="F171" s="2"/>
      <c r="G171" s="2"/>
      <c r="H171" s="2"/>
      <c r="I171" s="2"/>
      <c r="J171" s="2"/>
      <c r="K171" s="2"/>
      <c r="L171" s="2"/>
      <c r="M171" s="2"/>
      <c r="N171" s="2"/>
      <c r="O171" s="2"/>
      <c r="P171" s="2"/>
      <c r="Q171" s="2"/>
      <c r="R171" s="2"/>
      <c r="S171" s="2"/>
      <c r="T171" s="2"/>
      <c r="U171" s="2"/>
      <c r="V171" s="2"/>
    </row>
    <row r="172" ht="15.75" customHeight="1">
      <c r="A172" s="2"/>
      <c r="B172" s="2"/>
      <c r="C172" s="2"/>
      <c r="D172" s="2"/>
      <c r="E172" s="2"/>
      <c r="F172" s="2"/>
      <c r="G172" s="2"/>
      <c r="H172" s="2"/>
      <c r="I172" s="2"/>
      <c r="J172" s="2"/>
      <c r="K172" s="2"/>
      <c r="L172" s="2"/>
      <c r="M172" s="2"/>
      <c r="N172" s="2"/>
      <c r="O172" s="2"/>
      <c r="P172" s="2"/>
      <c r="Q172" s="2"/>
      <c r="R172" s="2"/>
      <c r="S172" s="2"/>
      <c r="T172" s="2"/>
      <c r="U172" s="2"/>
      <c r="V172" s="2"/>
    </row>
    <row r="173" ht="15.75" customHeight="1">
      <c r="A173" s="2"/>
      <c r="B173" s="2"/>
      <c r="C173" s="2"/>
      <c r="D173" s="2"/>
      <c r="E173" s="2"/>
      <c r="F173" s="2"/>
      <c r="G173" s="2"/>
      <c r="H173" s="2"/>
      <c r="I173" s="2"/>
      <c r="J173" s="2"/>
      <c r="K173" s="2"/>
      <c r="L173" s="2"/>
      <c r="M173" s="2"/>
      <c r="N173" s="2"/>
      <c r="O173" s="2"/>
      <c r="P173" s="2"/>
      <c r="Q173" s="2"/>
      <c r="R173" s="2"/>
      <c r="S173" s="2"/>
      <c r="T173" s="2"/>
      <c r="U173" s="2"/>
      <c r="V173" s="2"/>
    </row>
    <row r="174" ht="15.75" customHeight="1">
      <c r="A174" s="2"/>
      <c r="B174" s="2"/>
      <c r="C174" s="2"/>
      <c r="D174" s="2"/>
      <c r="E174" s="2"/>
      <c r="F174" s="2"/>
      <c r="G174" s="2"/>
      <c r="H174" s="2"/>
      <c r="I174" s="2"/>
      <c r="J174" s="2"/>
      <c r="K174" s="2"/>
      <c r="L174" s="2"/>
      <c r="M174" s="2"/>
      <c r="N174" s="2"/>
      <c r="O174" s="2"/>
      <c r="P174" s="2"/>
      <c r="Q174" s="2"/>
      <c r="R174" s="2"/>
      <c r="S174" s="2"/>
      <c r="T174" s="2"/>
      <c r="U174" s="2"/>
      <c r="V174" s="2"/>
    </row>
    <row r="175" ht="15.75" customHeight="1">
      <c r="A175" s="2"/>
      <c r="B175" s="2"/>
      <c r="C175" s="2"/>
      <c r="D175" s="2"/>
      <c r="E175" s="2"/>
      <c r="F175" s="2"/>
      <c r="G175" s="2"/>
      <c r="H175" s="2"/>
      <c r="I175" s="2"/>
      <c r="J175" s="2"/>
      <c r="K175" s="2"/>
      <c r="L175" s="2"/>
      <c r="M175" s="2"/>
      <c r="N175" s="2"/>
      <c r="O175" s="2"/>
      <c r="P175" s="2"/>
      <c r="Q175" s="2"/>
      <c r="R175" s="2"/>
      <c r="S175" s="2"/>
      <c r="T175" s="2"/>
      <c r="U175" s="2"/>
      <c r="V175" s="2"/>
    </row>
    <row r="176" ht="15.75" customHeight="1">
      <c r="A176" s="2"/>
      <c r="B176" s="2"/>
      <c r="C176" s="2"/>
      <c r="D176" s="2"/>
      <c r="E176" s="2"/>
      <c r="F176" s="2"/>
      <c r="G176" s="2"/>
      <c r="H176" s="2"/>
      <c r="I176" s="2"/>
      <c r="J176" s="2"/>
      <c r="K176" s="2"/>
      <c r="L176" s="2"/>
      <c r="M176" s="2"/>
      <c r="N176" s="2"/>
      <c r="O176" s="2"/>
      <c r="P176" s="2"/>
      <c r="Q176" s="2"/>
      <c r="R176" s="2"/>
      <c r="S176" s="2"/>
      <c r="T176" s="2"/>
      <c r="U176" s="2"/>
      <c r="V176" s="2"/>
    </row>
    <row r="177" ht="15.75" customHeight="1">
      <c r="A177" s="2"/>
      <c r="B177" s="2"/>
      <c r="C177" s="2"/>
      <c r="D177" s="2"/>
      <c r="E177" s="2"/>
      <c r="F177" s="2"/>
      <c r="G177" s="2"/>
      <c r="H177" s="2"/>
      <c r="I177" s="2"/>
      <c r="J177" s="2"/>
      <c r="K177" s="2"/>
      <c r="L177" s="2"/>
      <c r="M177" s="2"/>
      <c r="N177" s="2"/>
      <c r="O177" s="2"/>
      <c r="P177" s="2"/>
      <c r="Q177" s="2"/>
      <c r="R177" s="2"/>
      <c r="S177" s="2"/>
      <c r="T177" s="2"/>
      <c r="U177" s="2"/>
      <c r="V177" s="2"/>
    </row>
    <row r="178" ht="15.75" customHeight="1">
      <c r="A178" s="2"/>
      <c r="B178" s="2"/>
      <c r="C178" s="2"/>
      <c r="D178" s="2"/>
      <c r="E178" s="2"/>
      <c r="F178" s="2"/>
      <c r="G178" s="2"/>
      <c r="H178" s="2"/>
      <c r="I178" s="2"/>
      <c r="J178" s="2"/>
      <c r="K178" s="2"/>
      <c r="L178" s="2"/>
      <c r="M178" s="2"/>
      <c r="N178" s="2"/>
      <c r="O178" s="2"/>
      <c r="P178" s="2"/>
      <c r="Q178" s="2"/>
      <c r="R178" s="2"/>
      <c r="S178" s="2"/>
      <c r="T178" s="2"/>
      <c r="U178" s="2"/>
      <c r="V178" s="2"/>
    </row>
    <row r="179" ht="15.75" customHeight="1">
      <c r="A179" s="2"/>
      <c r="B179" s="2"/>
      <c r="C179" s="2"/>
      <c r="D179" s="2"/>
      <c r="E179" s="2"/>
      <c r="F179" s="2"/>
      <c r="G179" s="2"/>
      <c r="H179" s="2"/>
      <c r="I179" s="2"/>
      <c r="J179" s="2"/>
      <c r="K179" s="2"/>
      <c r="L179" s="2"/>
      <c r="M179" s="2"/>
      <c r="N179" s="2"/>
      <c r="O179" s="2"/>
      <c r="P179" s="2"/>
      <c r="Q179" s="2"/>
      <c r="R179" s="2"/>
      <c r="S179" s="2"/>
      <c r="T179" s="2"/>
      <c r="U179" s="2"/>
      <c r="V179" s="2"/>
    </row>
    <row r="180" ht="15.75" customHeight="1">
      <c r="A180" s="2"/>
      <c r="B180" s="2"/>
      <c r="C180" s="2"/>
      <c r="D180" s="2"/>
      <c r="E180" s="2"/>
      <c r="F180" s="2"/>
      <c r="G180" s="2"/>
      <c r="H180" s="2"/>
      <c r="I180" s="2"/>
      <c r="J180" s="2"/>
      <c r="K180" s="2"/>
      <c r="L180" s="2"/>
      <c r="M180" s="2"/>
      <c r="N180" s="2"/>
      <c r="O180" s="2"/>
      <c r="P180" s="2"/>
      <c r="Q180" s="2"/>
      <c r="R180" s="2"/>
      <c r="S180" s="2"/>
      <c r="T180" s="2"/>
      <c r="U180" s="2"/>
      <c r="V180" s="2"/>
    </row>
    <row r="181" ht="15.75" customHeight="1">
      <c r="A181" s="2"/>
      <c r="B181" s="2"/>
      <c r="C181" s="2"/>
      <c r="D181" s="2"/>
      <c r="E181" s="2"/>
      <c r="F181" s="2"/>
      <c r="G181" s="2"/>
      <c r="H181" s="2"/>
      <c r="I181" s="2"/>
      <c r="J181" s="2"/>
      <c r="K181" s="2"/>
      <c r="L181" s="2"/>
      <c r="M181" s="2"/>
      <c r="N181" s="2"/>
      <c r="O181" s="2"/>
      <c r="P181" s="2"/>
      <c r="Q181" s="2"/>
      <c r="R181" s="2"/>
      <c r="S181" s="2"/>
      <c r="T181" s="2"/>
      <c r="U181" s="2"/>
      <c r="V181" s="2"/>
    </row>
    <row r="182" ht="15.75" customHeight="1">
      <c r="A182" s="2"/>
      <c r="B182" s="2"/>
      <c r="C182" s="2"/>
      <c r="D182" s="2"/>
      <c r="E182" s="2"/>
      <c r="F182" s="2"/>
      <c r="G182" s="2"/>
      <c r="H182" s="2"/>
      <c r="I182" s="2"/>
      <c r="J182" s="2"/>
      <c r="K182" s="2"/>
      <c r="L182" s="2"/>
      <c r="M182" s="2"/>
      <c r="N182" s="2"/>
      <c r="O182" s="2"/>
      <c r="P182" s="2"/>
      <c r="Q182" s="2"/>
      <c r="R182" s="2"/>
      <c r="S182" s="2"/>
      <c r="T182" s="2"/>
      <c r="U182" s="2"/>
      <c r="V182" s="2"/>
    </row>
    <row r="183" ht="15.75" customHeight="1">
      <c r="A183" s="2"/>
      <c r="B183" s="2"/>
      <c r="C183" s="2"/>
      <c r="D183" s="2"/>
      <c r="E183" s="2"/>
      <c r="F183" s="2"/>
      <c r="G183" s="2"/>
      <c r="H183" s="2"/>
      <c r="I183" s="2"/>
      <c r="J183" s="2"/>
      <c r="K183" s="2"/>
      <c r="L183" s="2"/>
      <c r="M183" s="2"/>
      <c r="N183" s="2"/>
      <c r="O183" s="2"/>
      <c r="P183" s="2"/>
      <c r="Q183" s="2"/>
      <c r="R183" s="2"/>
      <c r="S183" s="2"/>
      <c r="T183" s="2"/>
      <c r="U183" s="2"/>
      <c r="V183" s="2"/>
    </row>
    <row r="184" ht="15.75" customHeight="1">
      <c r="A184" s="2"/>
      <c r="B184" s="2"/>
      <c r="C184" s="2"/>
      <c r="D184" s="2"/>
      <c r="E184" s="2"/>
      <c r="F184" s="2"/>
      <c r="G184" s="2"/>
      <c r="H184" s="2"/>
      <c r="I184" s="2"/>
      <c r="J184" s="2"/>
      <c r="K184" s="2"/>
      <c r="L184" s="2"/>
      <c r="M184" s="2"/>
      <c r="N184" s="2"/>
      <c r="O184" s="2"/>
      <c r="P184" s="2"/>
      <c r="Q184" s="2"/>
      <c r="R184" s="2"/>
      <c r="S184" s="2"/>
      <c r="T184" s="2"/>
      <c r="U184" s="2"/>
      <c r="V184" s="2"/>
    </row>
    <row r="185" ht="15.75" customHeight="1">
      <c r="A185" s="2"/>
      <c r="B185" s="2"/>
      <c r="C185" s="2"/>
      <c r="D185" s="2"/>
      <c r="E185" s="2"/>
      <c r="F185" s="2"/>
      <c r="G185" s="2"/>
      <c r="H185" s="2"/>
      <c r="I185" s="2"/>
      <c r="J185" s="2"/>
      <c r="K185" s="2"/>
      <c r="L185" s="2"/>
      <c r="M185" s="2"/>
      <c r="N185" s="2"/>
      <c r="O185" s="2"/>
      <c r="P185" s="2"/>
      <c r="Q185" s="2"/>
      <c r="R185" s="2"/>
      <c r="S185" s="2"/>
      <c r="T185" s="2"/>
      <c r="U185" s="2"/>
      <c r="V185" s="2"/>
    </row>
    <row r="186" ht="15.75" customHeight="1">
      <c r="A186" s="2"/>
      <c r="B186" s="2"/>
      <c r="C186" s="2"/>
      <c r="D186" s="2"/>
      <c r="E186" s="2"/>
      <c r="F186" s="2"/>
      <c r="G186" s="2"/>
      <c r="H186" s="2"/>
      <c r="I186" s="2"/>
      <c r="J186" s="2"/>
      <c r="K186" s="2"/>
      <c r="L186" s="2"/>
      <c r="M186" s="2"/>
      <c r="N186" s="2"/>
      <c r="O186" s="2"/>
      <c r="P186" s="2"/>
      <c r="Q186" s="2"/>
      <c r="R186" s="2"/>
      <c r="S186" s="2"/>
      <c r="T186" s="2"/>
      <c r="U186" s="2"/>
      <c r="V186" s="2"/>
    </row>
    <row r="187" ht="15.75" customHeight="1">
      <c r="A187" s="2"/>
      <c r="B187" s="2"/>
      <c r="C187" s="2"/>
      <c r="D187" s="2"/>
      <c r="E187" s="2"/>
      <c r="F187" s="2"/>
      <c r="G187" s="2"/>
      <c r="H187" s="2"/>
      <c r="I187" s="2"/>
      <c r="J187" s="2"/>
      <c r="K187" s="2"/>
      <c r="L187" s="2"/>
      <c r="M187" s="2"/>
      <c r="N187" s="2"/>
      <c r="O187" s="2"/>
      <c r="P187" s="2"/>
      <c r="Q187" s="2"/>
      <c r="R187" s="2"/>
      <c r="S187" s="2"/>
      <c r="T187" s="2"/>
      <c r="U187" s="2"/>
      <c r="V187" s="2"/>
    </row>
    <row r="188" ht="15.75" customHeight="1">
      <c r="A188" s="2"/>
      <c r="B188" s="2"/>
      <c r="C188" s="2"/>
      <c r="D188" s="2"/>
      <c r="E188" s="2"/>
      <c r="F188" s="2"/>
      <c r="G188" s="2"/>
      <c r="H188" s="2"/>
      <c r="I188" s="2"/>
      <c r="J188" s="2"/>
      <c r="K188" s="2"/>
      <c r="L188" s="2"/>
      <c r="M188" s="2"/>
      <c r="N188" s="2"/>
      <c r="O188" s="2"/>
      <c r="P188" s="2"/>
      <c r="Q188" s="2"/>
      <c r="R188" s="2"/>
      <c r="S188" s="2"/>
      <c r="T188" s="2"/>
      <c r="U188" s="2"/>
      <c r="V188" s="2"/>
    </row>
    <row r="189" ht="15.75" customHeight="1">
      <c r="A189" s="2"/>
      <c r="B189" s="2"/>
      <c r="C189" s="2"/>
      <c r="D189" s="2"/>
      <c r="E189" s="2"/>
      <c r="F189" s="2"/>
      <c r="G189" s="2"/>
      <c r="H189" s="2"/>
      <c r="I189" s="2"/>
      <c r="J189" s="2"/>
      <c r="K189" s="2"/>
      <c r="L189" s="2"/>
      <c r="M189" s="2"/>
      <c r="N189" s="2"/>
      <c r="O189" s="2"/>
      <c r="P189" s="2"/>
      <c r="Q189" s="2"/>
      <c r="R189" s="2"/>
      <c r="S189" s="2"/>
      <c r="T189" s="2"/>
      <c r="U189" s="2"/>
      <c r="V189" s="2"/>
    </row>
    <row r="190" ht="15.75" customHeight="1">
      <c r="A190" s="2"/>
      <c r="B190" s="2"/>
      <c r="C190" s="2"/>
      <c r="D190" s="2"/>
      <c r="E190" s="2"/>
      <c r="F190" s="2"/>
      <c r="G190" s="2"/>
      <c r="H190" s="2"/>
      <c r="I190" s="2"/>
      <c r="J190" s="2"/>
      <c r="K190" s="2"/>
      <c r="L190" s="2"/>
      <c r="M190" s="2"/>
      <c r="N190" s="2"/>
      <c r="O190" s="2"/>
      <c r="P190" s="2"/>
      <c r="Q190" s="2"/>
      <c r="R190" s="2"/>
      <c r="S190" s="2"/>
      <c r="T190" s="2"/>
      <c r="U190" s="2"/>
      <c r="V190" s="2"/>
    </row>
    <row r="191" ht="15.75" customHeight="1">
      <c r="A191" s="2"/>
      <c r="B191" s="2"/>
      <c r="C191" s="2"/>
      <c r="D191" s="2"/>
      <c r="E191" s="2"/>
      <c r="F191" s="2"/>
      <c r="G191" s="2"/>
      <c r="H191" s="2"/>
      <c r="I191" s="2"/>
      <c r="J191" s="2"/>
      <c r="K191" s="2"/>
      <c r="L191" s="2"/>
      <c r="M191" s="2"/>
      <c r="N191" s="2"/>
      <c r="O191" s="2"/>
      <c r="P191" s="2"/>
      <c r="Q191" s="2"/>
      <c r="R191" s="2"/>
      <c r="S191" s="2"/>
      <c r="T191" s="2"/>
      <c r="U191" s="2"/>
      <c r="V191" s="2"/>
    </row>
    <row r="192" ht="15.75" customHeight="1">
      <c r="A192" s="2"/>
      <c r="B192" s="2"/>
      <c r="C192" s="2"/>
      <c r="D192" s="2"/>
      <c r="E192" s="2"/>
      <c r="F192" s="2"/>
      <c r="G192" s="2"/>
      <c r="H192" s="2"/>
      <c r="I192" s="2"/>
      <c r="J192" s="2"/>
      <c r="K192" s="2"/>
      <c r="L192" s="2"/>
      <c r="M192" s="2"/>
      <c r="N192" s="2"/>
      <c r="O192" s="2"/>
      <c r="P192" s="2"/>
      <c r="Q192" s="2"/>
      <c r="R192" s="2"/>
      <c r="S192" s="2"/>
      <c r="T192" s="2"/>
      <c r="U192" s="2"/>
      <c r="V192" s="2"/>
    </row>
    <row r="193" ht="15.75" customHeight="1">
      <c r="A193" s="2"/>
      <c r="B193" s="2"/>
      <c r="C193" s="2"/>
      <c r="D193" s="2"/>
      <c r="E193" s="2"/>
      <c r="F193" s="2"/>
      <c r="G193" s="2"/>
      <c r="H193" s="2"/>
      <c r="I193" s="2"/>
      <c r="J193" s="2"/>
      <c r="K193" s="2"/>
      <c r="L193" s="2"/>
      <c r="M193" s="2"/>
      <c r="N193" s="2"/>
      <c r="O193" s="2"/>
      <c r="P193" s="2"/>
      <c r="Q193" s="2"/>
      <c r="R193" s="2"/>
      <c r="S193" s="2"/>
      <c r="T193" s="2"/>
      <c r="U193" s="2"/>
      <c r="V193" s="2"/>
    </row>
    <row r="194" ht="15.75" customHeight="1">
      <c r="A194" s="2"/>
      <c r="B194" s="2"/>
      <c r="C194" s="2"/>
      <c r="D194" s="2"/>
      <c r="E194" s="2"/>
      <c r="F194" s="2"/>
      <c r="G194" s="2"/>
      <c r="H194" s="2"/>
      <c r="I194" s="2"/>
      <c r="J194" s="2"/>
      <c r="K194" s="2"/>
      <c r="L194" s="2"/>
      <c r="M194" s="2"/>
      <c r="N194" s="2"/>
      <c r="O194" s="2"/>
      <c r="P194" s="2"/>
      <c r="Q194" s="2"/>
      <c r="R194" s="2"/>
      <c r="S194" s="2"/>
      <c r="T194" s="2"/>
      <c r="U194" s="2"/>
      <c r="V194" s="2"/>
    </row>
    <row r="195" ht="15.75" customHeight="1">
      <c r="A195" s="2"/>
      <c r="B195" s="2"/>
      <c r="C195" s="2"/>
      <c r="D195" s="2"/>
      <c r="E195" s="2"/>
      <c r="F195" s="2"/>
      <c r="G195" s="2"/>
      <c r="H195" s="2"/>
      <c r="I195" s="2"/>
      <c r="J195" s="2"/>
      <c r="K195" s="2"/>
      <c r="L195" s="2"/>
      <c r="M195" s="2"/>
      <c r="N195" s="2"/>
      <c r="O195" s="2"/>
      <c r="P195" s="2"/>
      <c r="Q195" s="2"/>
      <c r="R195" s="2"/>
      <c r="S195" s="2"/>
      <c r="T195" s="2"/>
      <c r="U195" s="2"/>
      <c r="V195" s="2"/>
    </row>
    <row r="196" ht="15.75" customHeight="1">
      <c r="A196" s="2"/>
      <c r="B196" s="2"/>
      <c r="C196" s="2"/>
      <c r="D196" s="2"/>
      <c r="E196" s="2"/>
      <c r="F196" s="2"/>
      <c r="G196" s="2"/>
      <c r="H196" s="2"/>
      <c r="I196" s="2"/>
      <c r="J196" s="2"/>
      <c r="K196" s="2"/>
      <c r="L196" s="2"/>
      <c r="M196" s="2"/>
      <c r="N196" s="2"/>
      <c r="O196" s="2"/>
      <c r="P196" s="2"/>
      <c r="Q196" s="2"/>
      <c r="R196" s="2"/>
      <c r="S196" s="2"/>
      <c r="T196" s="2"/>
      <c r="U196" s="2"/>
      <c r="V196" s="2"/>
    </row>
    <row r="197" ht="15.75" customHeight="1">
      <c r="A197" s="2"/>
      <c r="B197" s="2"/>
      <c r="C197" s="2"/>
      <c r="D197" s="2"/>
      <c r="E197" s="2"/>
      <c r="F197" s="2"/>
      <c r="G197" s="2"/>
      <c r="H197" s="2"/>
      <c r="I197" s="2"/>
      <c r="J197" s="2"/>
      <c r="K197" s="2"/>
      <c r="L197" s="2"/>
      <c r="M197" s="2"/>
      <c r="N197" s="2"/>
      <c r="O197" s="2"/>
      <c r="P197" s="2"/>
      <c r="Q197" s="2"/>
      <c r="R197" s="2"/>
      <c r="S197" s="2"/>
      <c r="T197" s="2"/>
      <c r="U197" s="2"/>
      <c r="V197" s="2"/>
    </row>
    <row r="198" ht="15.75" customHeight="1">
      <c r="A198" s="2"/>
      <c r="B198" s="2"/>
      <c r="C198" s="2"/>
      <c r="D198" s="2"/>
      <c r="E198" s="2"/>
      <c r="F198" s="2"/>
      <c r="G198" s="2"/>
      <c r="H198" s="2"/>
      <c r="I198" s="2"/>
      <c r="J198" s="2"/>
      <c r="K198" s="2"/>
      <c r="L198" s="2"/>
      <c r="M198" s="2"/>
      <c r="N198" s="2"/>
      <c r="O198" s="2"/>
      <c r="P198" s="2"/>
      <c r="Q198" s="2"/>
      <c r="R198" s="2"/>
      <c r="S198" s="2"/>
      <c r="T198" s="2"/>
      <c r="U198" s="2"/>
      <c r="V198" s="2"/>
    </row>
    <row r="199" ht="15.75" customHeight="1">
      <c r="A199" s="2"/>
      <c r="B199" s="2"/>
      <c r="C199" s="2"/>
      <c r="D199" s="2"/>
      <c r="E199" s="2"/>
      <c r="F199" s="2"/>
      <c r="G199" s="2"/>
      <c r="H199" s="2"/>
      <c r="I199" s="2"/>
      <c r="J199" s="2"/>
      <c r="K199" s="2"/>
      <c r="L199" s="2"/>
      <c r="M199" s="2"/>
      <c r="N199" s="2"/>
      <c r="O199" s="2"/>
      <c r="P199" s="2"/>
      <c r="Q199" s="2"/>
      <c r="R199" s="2"/>
      <c r="S199" s="2"/>
      <c r="T199" s="2"/>
      <c r="U199" s="2"/>
      <c r="V199" s="2"/>
    </row>
    <row r="200" ht="15.75" customHeight="1">
      <c r="A200" s="2"/>
      <c r="B200" s="2"/>
      <c r="C200" s="2"/>
      <c r="D200" s="2"/>
      <c r="E200" s="2"/>
      <c r="F200" s="2"/>
      <c r="G200" s="2"/>
      <c r="H200" s="2"/>
      <c r="I200" s="2"/>
      <c r="J200" s="2"/>
      <c r="K200" s="2"/>
      <c r="L200" s="2"/>
      <c r="M200" s="2"/>
      <c r="N200" s="2"/>
      <c r="O200" s="2"/>
      <c r="P200" s="2"/>
      <c r="Q200" s="2"/>
      <c r="R200" s="2"/>
      <c r="S200" s="2"/>
      <c r="T200" s="2"/>
      <c r="U200" s="2"/>
      <c r="V200" s="2"/>
    </row>
    <row r="201" ht="15.75" customHeight="1">
      <c r="A201" s="2"/>
      <c r="B201" s="2"/>
      <c r="C201" s="2"/>
      <c r="D201" s="2"/>
      <c r="E201" s="2"/>
      <c r="F201" s="2"/>
      <c r="G201" s="2"/>
      <c r="H201" s="2"/>
      <c r="I201" s="2"/>
      <c r="J201" s="2"/>
      <c r="K201" s="2"/>
      <c r="L201" s="2"/>
      <c r="M201" s="2"/>
      <c r="N201" s="2"/>
      <c r="O201" s="2"/>
      <c r="P201" s="2"/>
      <c r="Q201" s="2"/>
      <c r="R201" s="2"/>
      <c r="S201" s="2"/>
      <c r="T201" s="2"/>
      <c r="U201" s="2"/>
      <c r="V201" s="2"/>
    </row>
    <row r="202" ht="15.75" customHeight="1">
      <c r="A202" s="2"/>
      <c r="B202" s="2"/>
      <c r="C202" s="2"/>
      <c r="D202" s="2"/>
      <c r="E202" s="2"/>
      <c r="F202" s="2"/>
      <c r="G202" s="2"/>
      <c r="H202" s="2"/>
      <c r="I202" s="2"/>
      <c r="J202" s="2"/>
      <c r="K202" s="2"/>
      <c r="L202" s="2"/>
      <c r="M202" s="2"/>
      <c r="N202" s="2"/>
      <c r="O202" s="2"/>
      <c r="P202" s="2"/>
      <c r="Q202" s="2"/>
      <c r="R202" s="2"/>
      <c r="S202" s="2"/>
      <c r="T202" s="2"/>
      <c r="U202" s="2"/>
      <c r="V202" s="2"/>
    </row>
    <row r="203" ht="15.75" customHeight="1">
      <c r="A203" s="2"/>
      <c r="B203" s="2"/>
      <c r="C203" s="2"/>
      <c r="D203" s="2"/>
      <c r="E203" s="2"/>
      <c r="F203" s="2"/>
      <c r="G203" s="2"/>
      <c r="H203" s="2"/>
      <c r="I203" s="2"/>
      <c r="J203" s="2"/>
      <c r="K203" s="2"/>
      <c r="L203" s="2"/>
      <c r="M203" s="2"/>
      <c r="N203" s="2"/>
      <c r="O203" s="2"/>
      <c r="P203" s="2"/>
      <c r="Q203" s="2"/>
      <c r="R203" s="2"/>
      <c r="S203" s="2"/>
      <c r="T203" s="2"/>
      <c r="U203" s="2"/>
      <c r="V203" s="2"/>
    </row>
    <row r="204" ht="15.75" customHeight="1">
      <c r="A204" s="2"/>
      <c r="B204" s="2"/>
      <c r="C204" s="2"/>
      <c r="D204" s="2"/>
      <c r="E204" s="2"/>
      <c r="F204" s="2"/>
      <c r="G204" s="2"/>
      <c r="H204" s="2"/>
      <c r="I204" s="2"/>
      <c r="J204" s="2"/>
      <c r="K204" s="2"/>
      <c r="L204" s="2"/>
      <c r="M204" s="2"/>
      <c r="N204" s="2"/>
      <c r="O204" s="2"/>
      <c r="P204" s="2"/>
      <c r="Q204" s="2"/>
      <c r="R204" s="2"/>
      <c r="S204" s="2"/>
      <c r="T204" s="2"/>
      <c r="U204" s="2"/>
      <c r="V204" s="2"/>
    </row>
    <row r="205" ht="15.75" customHeight="1">
      <c r="A205" s="2"/>
      <c r="B205" s="2"/>
      <c r="C205" s="2"/>
      <c r="D205" s="2"/>
      <c r="E205" s="2"/>
      <c r="F205" s="2"/>
      <c r="G205" s="2"/>
      <c r="H205" s="2"/>
      <c r="I205" s="2"/>
      <c r="J205" s="2"/>
      <c r="K205" s="2"/>
      <c r="L205" s="2"/>
      <c r="M205" s="2"/>
      <c r="N205" s="2"/>
      <c r="O205" s="2"/>
      <c r="P205" s="2"/>
      <c r="Q205" s="2"/>
      <c r="R205" s="2"/>
      <c r="S205" s="2"/>
      <c r="T205" s="2"/>
      <c r="U205" s="2"/>
      <c r="V205" s="2"/>
    </row>
    <row r="206" ht="15.75" customHeight="1">
      <c r="A206" s="2"/>
      <c r="B206" s="2"/>
      <c r="C206" s="2"/>
      <c r="D206" s="2"/>
      <c r="E206" s="2"/>
      <c r="F206" s="2"/>
      <c r="G206" s="2"/>
      <c r="H206" s="2"/>
      <c r="I206" s="2"/>
      <c r="J206" s="2"/>
      <c r="K206" s="2"/>
      <c r="L206" s="2"/>
      <c r="M206" s="2"/>
      <c r="N206" s="2"/>
      <c r="O206" s="2"/>
      <c r="P206" s="2"/>
      <c r="Q206" s="2"/>
      <c r="R206" s="2"/>
      <c r="S206" s="2"/>
      <c r="T206" s="2"/>
      <c r="U206" s="2"/>
      <c r="V206" s="2"/>
    </row>
    <row r="207" ht="15.75" customHeight="1">
      <c r="A207" s="2"/>
      <c r="B207" s="2"/>
      <c r="C207" s="2"/>
      <c r="D207" s="2"/>
      <c r="E207" s="2"/>
      <c r="F207" s="2"/>
      <c r="G207" s="2"/>
      <c r="H207" s="2"/>
      <c r="I207" s="2"/>
      <c r="J207" s="2"/>
      <c r="K207" s="2"/>
      <c r="L207" s="2"/>
      <c r="M207" s="2"/>
      <c r="N207" s="2"/>
      <c r="O207" s="2"/>
      <c r="P207" s="2"/>
      <c r="Q207" s="2"/>
      <c r="R207" s="2"/>
      <c r="S207" s="2"/>
      <c r="T207" s="2"/>
      <c r="U207" s="2"/>
      <c r="V207" s="2"/>
    </row>
    <row r="208" ht="15.75" customHeight="1">
      <c r="A208" s="2"/>
      <c r="B208" s="2"/>
      <c r="C208" s="2"/>
      <c r="D208" s="2"/>
      <c r="E208" s="2"/>
      <c r="F208" s="2"/>
      <c r="G208" s="2"/>
      <c r="H208" s="2"/>
      <c r="I208" s="2"/>
      <c r="J208" s="2"/>
      <c r="K208" s="2"/>
      <c r="L208" s="2"/>
      <c r="M208" s="2"/>
      <c r="N208" s="2"/>
      <c r="O208" s="2"/>
      <c r="P208" s="2"/>
      <c r="Q208" s="2"/>
      <c r="R208" s="2"/>
      <c r="S208" s="2"/>
      <c r="T208" s="2"/>
      <c r="U208" s="2"/>
      <c r="V208" s="2"/>
    </row>
    <row r="209" ht="15.75" customHeight="1">
      <c r="A209" s="2"/>
      <c r="B209" s="2"/>
      <c r="C209" s="2"/>
      <c r="D209" s="2"/>
      <c r="E209" s="2"/>
      <c r="F209" s="2"/>
      <c r="G209" s="2"/>
      <c r="H209" s="2"/>
      <c r="I209" s="2"/>
      <c r="J209" s="2"/>
      <c r="K209" s="2"/>
      <c r="L209" s="2"/>
      <c r="M209" s="2"/>
      <c r="N209" s="2"/>
      <c r="O209" s="2"/>
      <c r="P209" s="2"/>
      <c r="Q209" s="2"/>
      <c r="R209" s="2"/>
      <c r="S209" s="2"/>
      <c r="T209" s="2"/>
      <c r="U209" s="2"/>
      <c r="V209" s="2"/>
    </row>
    <row r="210" ht="15.75" customHeight="1">
      <c r="A210" s="2"/>
      <c r="B210" s="2"/>
      <c r="C210" s="2"/>
      <c r="D210" s="2"/>
      <c r="E210" s="2"/>
      <c r="F210" s="2"/>
      <c r="G210" s="2"/>
      <c r="H210" s="2"/>
      <c r="I210" s="2"/>
      <c r="J210" s="2"/>
      <c r="K210" s="2"/>
      <c r="L210" s="2"/>
      <c r="M210" s="2"/>
      <c r="N210" s="2"/>
      <c r="O210" s="2"/>
      <c r="P210" s="2"/>
      <c r="Q210" s="2"/>
      <c r="R210" s="2"/>
      <c r="S210" s="2"/>
      <c r="T210" s="2"/>
      <c r="U210" s="2"/>
      <c r="V210" s="2"/>
    </row>
    <row r="211" ht="15.75" customHeight="1">
      <c r="A211" s="2"/>
      <c r="B211" s="2"/>
      <c r="C211" s="2"/>
      <c r="D211" s="2"/>
      <c r="E211" s="2"/>
      <c r="F211" s="2"/>
      <c r="G211" s="2"/>
      <c r="H211" s="2"/>
      <c r="I211" s="2"/>
      <c r="J211" s="2"/>
      <c r="K211" s="2"/>
      <c r="L211" s="2"/>
      <c r="M211" s="2"/>
      <c r="N211" s="2"/>
      <c r="O211" s="2"/>
      <c r="P211" s="2"/>
      <c r="Q211" s="2"/>
      <c r="R211" s="2"/>
      <c r="S211" s="2"/>
      <c r="T211" s="2"/>
      <c r="U211" s="2"/>
      <c r="V211" s="2"/>
    </row>
    <row r="212" ht="15.75" customHeight="1">
      <c r="A212" s="2"/>
      <c r="B212" s="2"/>
      <c r="C212" s="2"/>
      <c r="D212" s="2"/>
      <c r="E212" s="2"/>
      <c r="F212" s="2"/>
      <c r="G212" s="2"/>
      <c r="H212" s="2"/>
      <c r="I212" s="2"/>
      <c r="J212" s="2"/>
      <c r="K212" s="2"/>
      <c r="L212" s="2"/>
      <c r="M212" s="2"/>
      <c r="N212" s="2"/>
      <c r="O212" s="2"/>
      <c r="P212" s="2"/>
      <c r="Q212" s="2"/>
      <c r="R212" s="2"/>
      <c r="S212" s="2"/>
      <c r="T212" s="2"/>
      <c r="U212" s="2"/>
      <c r="V212" s="2"/>
    </row>
    <row r="213" ht="15.75" customHeight="1">
      <c r="A213" s="2"/>
      <c r="B213" s="2"/>
      <c r="C213" s="2"/>
      <c r="D213" s="2"/>
      <c r="E213" s="2"/>
      <c r="F213" s="2"/>
      <c r="G213" s="2"/>
      <c r="H213" s="2"/>
      <c r="I213" s="2"/>
      <c r="J213" s="2"/>
      <c r="K213" s="2"/>
      <c r="L213" s="2"/>
      <c r="M213" s="2"/>
      <c r="N213" s="2"/>
      <c r="O213" s="2"/>
      <c r="P213" s="2"/>
      <c r="Q213" s="2"/>
      <c r="R213" s="2"/>
      <c r="S213" s="2"/>
      <c r="T213" s="2"/>
      <c r="U213" s="2"/>
      <c r="V213" s="2"/>
    </row>
    <row r="214" ht="15.75" customHeight="1">
      <c r="A214" s="2"/>
      <c r="B214" s="2"/>
      <c r="C214" s="2"/>
      <c r="D214" s="2"/>
      <c r="E214" s="2"/>
      <c r="F214" s="2"/>
      <c r="G214" s="2"/>
      <c r="H214" s="2"/>
      <c r="I214" s="2"/>
      <c r="J214" s="2"/>
      <c r="K214" s="2"/>
      <c r="L214" s="2"/>
      <c r="M214" s="2"/>
      <c r="N214" s="2"/>
      <c r="O214" s="2"/>
      <c r="P214" s="2"/>
      <c r="Q214" s="2"/>
      <c r="R214" s="2"/>
      <c r="S214" s="2"/>
      <c r="T214" s="2"/>
      <c r="U214" s="2"/>
      <c r="V214" s="2"/>
    </row>
    <row r="215" ht="15.75" customHeight="1">
      <c r="A215" s="2"/>
      <c r="B215" s="2"/>
      <c r="C215" s="2"/>
      <c r="D215" s="2"/>
      <c r="E215" s="2"/>
      <c r="F215" s="2"/>
      <c r="G215" s="2"/>
      <c r="H215" s="2"/>
      <c r="I215" s="2"/>
      <c r="J215" s="2"/>
      <c r="K215" s="2"/>
      <c r="L215" s="2"/>
      <c r="M215" s="2"/>
      <c r="N215" s="2"/>
      <c r="O215" s="2"/>
      <c r="P215" s="2"/>
      <c r="Q215" s="2"/>
      <c r="R215" s="2"/>
      <c r="S215" s="2"/>
      <c r="T215" s="2"/>
      <c r="U215" s="2"/>
      <c r="V215" s="2"/>
    </row>
    <row r="216" ht="15.75" customHeight="1">
      <c r="A216" s="2"/>
      <c r="B216" s="2"/>
      <c r="C216" s="2"/>
      <c r="D216" s="2"/>
      <c r="E216" s="2"/>
      <c r="F216" s="2"/>
      <c r="G216" s="2"/>
      <c r="H216" s="2"/>
      <c r="I216" s="2"/>
      <c r="J216" s="2"/>
      <c r="K216" s="2"/>
      <c r="L216" s="2"/>
      <c r="M216" s="2"/>
      <c r="N216" s="2"/>
      <c r="O216" s="2"/>
      <c r="P216" s="2"/>
      <c r="Q216" s="2"/>
      <c r="R216" s="2"/>
      <c r="S216" s="2"/>
      <c r="T216" s="2"/>
      <c r="U216" s="2"/>
      <c r="V216" s="2"/>
    </row>
    <row r="217" ht="15.75" customHeight="1">
      <c r="A217" s="2"/>
      <c r="B217" s="2"/>
      <c r="C217" s="2"/>
      <c r="D217" s="2"/>
      <c r="E217" s="2"/>
      <c r="F217" s="2"/>
      <c r="G217" s="2"/>
      <c r="H217" s="2"/>
      <c r="I217" s="2"/>
      <c r="J217" s="2"/>
      <c r="K217" s="2"/>
      <c r="L217" s="2"/>
      <c r="M217" s="2"/>
      <c r="N217" s="2"/>
      <c r="O217" s="2"/>
      <c r="P217" s="2"/>
      <c r="Q217" s="2"/>
      <c r="R217" s="2"/>
      <c r="S217" s="2"/>
      <c r="T217" s="2"/>
      <c r="U217" s="2"/>
      <c r="V217" s="2"/>
    </row>
    <row r="218" ht="15.75" customHeight="1">
      <c r="A218" s="2"/>
      <c r="B218" s="2"/>
      <c r="C218" s="2"/>
      <c r="D218" s="2"/>
      <c r="E218" s="2"/>
      <c r="F218" s="2"/>
      <c r="G218" s="2"/>
      <c r="H218" s="2"/>
      <c r="I218" s="2"/>
      <c r="J218" s="2"/>
      <c r="K218" s="2"/>
      <c r="L218" s="2"/>
      <c r="M218" s="2"/>
      <c r="N218" s="2"/>
      <c r="O218" s="2"/>
      <c r="P218" s="2"/>
      <c r="Q218" s="2"/>
      <c r="R218" s="2"/>
      <c r="S218" s="2"/>
      <c r="T218" s="2"/>
      <c r="U218" s="2"/>
      <c r="V218" s="2"/>
    </row>
    <row r="219" ht="15.75" customHeight="1">
      <c r="A219" s="2"/>
      <c r="B219" s="2"/>
      <c r="C219" s="2"/>
      <c r="D219" s="2"/>
      <c r="E219" s="2"/>
      <c r="F219" s="2"/>
      <c r="G219" s="2"/>
      <c r="H219" s="2"/>
      <c r="I219" s="2"/>
      <c r="J219" s="2"/>
      <c r="K219" s="2"/>
      <c r="L219" s="2"/>
      <c r="M219" s="2"/>
      <c r="N219" s="2"/>
      <c r="O219" s="2"/>
      <c r="P219" s="2"/>
      <c r="Q219" s="2"/>
      <c r="R219" s="2"/>
      <c r="S219" s="2"/>
      <c r="T219" s="2"/>
      <c r="U219" s="2"/>
      <c r="V219" s="2"/>
    </row>
    <row r="220" ht="15.75" customHeight="1">
      <c r="A220" s="2"/>
      <c r="B220" s="2"/>
      <c r="C220" s="2"/>
      <c r="D220" s="2"/>
      <c r="E220" s="2"/>
      <c r="F220" s="2"/>
      <c r="G220" s="2"/>
      <c r="H220" s="2"/>
      <c r="I220" s="2"/>
      <c r="J220" s="2"/>
      <c r="K220" s="2"/>
      <c r="L220" s="2"/>
      <c r="M220" s="2"/>
      <c r="N220" s="2"/>
      <c r="O220" s="2"/>
      <c r="P220" s="2"/>
      <c r="Q220" s="2"/>
      <c r="R220" s="2"/>
      <c r="S220" s="2"/>
      <c r="T220" s="2"/>
      <c r="U220" s="2"/>
      <c r="V220" s="2"/>
    </row>
  </sheetData>
  <mergeCells count="1">
    <mergeCell ref="A1:D1"/>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1.5"/>
    <col customWidth="1" min="2" max="3" width="50.75"/>
    <col customWidth="1" min="4" max="4" width="21.0"/>
    <col customWidth="1" min="5" max="5" width="50.75"/>
    <col customWidth="1" min="6" max="6" width="42.0"/>
    <col customWidth="1" min="7" max="7" width="14.0"/>
    <col customWidth="1" min="8" max="8" width="8.75"/>
    <col customWidth="1" min="9" max="9" width="14.0"/>
    <col customWidth="1" min="10" max="10" width="50.75"/>
  </cols>
  <sheetData>
    <row r="1">
      <c r="A1" s="30" t="s">
        <v>377</v>
      </c>
      <c r="B1" s="30" t="s">
        <v>378</v>
      </c>
      <c r="C1" s="30" t="s">
        <v>26</v>
      </c>
      <c r="D1" s="30" t="s">
        <v>27</v>
      </c>
      <c r="E1" s="30" t="s">
        <v>379</v>
      </c>
      <c r="F1" s="30" t="s">
        <v>28</v>
      </c>
      <c r="G1" s="30" t="s">
        <v>29</v>
      </c>
      <c r="H1" s="30" t="s">
        <v>30</v>
      </c>
      <c r="I1" s="30" t="s">
        <v>31</v>
      </c>
      <c r="J1" s="30" t="s">
        <v>32</v>
      </c>
      <c r="K1" s="2"/>
      <c r="L1" s="2"/>
      <c r="M1" s="2"/>
      <c r="N1" s="2"/>
      <c r="O1" s="2"/>
      <c r="P1" s="2"/>
      <c r="Q1" s="2"/>
      <c r="R1" s="2"/>
      <c r="S1" s="2"/>
      <c r="T1" s="2"/>
      <c r="U1" s="2"/>
      <c r="V1" s="2"/>
      <c r="W1" s="2"/>
      <c r="X1" s="2"/>
      <c r="Y1" s="2"/>
      <c r="Z1" s="2"/>
    </row>
    <row r="2">
      <c r="A2" s="31" t="s">
        <v>380</v>
      </c>
      <c r="B2" s="32" t="s">
        <v>381</v>
      </c>
      <c r="C2" s="32" t="s">
        <v>149</v>
      </c>
      <c r="D2" s="32" t="s">
        <v>150</v>
      </c>
      <c r="E2" s="32" t="s">
        <v>382</v>
      </c>
      <c r="F2" s="31"/>
      <c r="G2" s="31" t="s">
        <v>383</v>
      </c>
      <c r="H2" s="33">
        <v>227.0</v>
      </c>
      <c r="I2" s="34">
        <v>45640.0</v>
      </c>
      <c r="J2" s="32" t="s">
        <v>384</v>
      </c>
      <c r="K2" s="2"/>
      <c r="L2" s="2"/>
      <c r="M2" s="2"/>
      <c r="N2" s="2"/>
      <c r="O2" s="2"/>
      <c r="P2" s="2"/>
      <c r="Q2" s="2"/>
      <c r="R2" s="2"/>
      <c r="S2" s="2"/>
      <c r="T2" s="2"/>
      <c r="U2" s="2"/>
      <c r="V2" s="2"/>
      <c r="W2" s="2"/>
      <c r="X2" s="2"/>
      <c r="Y2" s="2"/>
      <c r="Z2" s="2"/>
    </row>
    <row r="3">
      <c r="A3" s="31" t="s">
        <v>385</v>
      </c>
      <c r="B3" s="32" t="s">
        <v>386</v>
      </c>
      <c r="C3" s="32" t="s">
        <v>154</v>
      </c>
      <c r="D3" s="32" t="s">
        <v>155</v>
      </c>
      <c r="E3" s="32" t="s">
        <v>387</v>
      </c>
      <c r="F3" s="31"/>
      <c r="G3" s="31" t="s">
        <v>388</v>
      </c>
      <c r="H3" s="33">
        <v>330.0</v>
      </c>
      <c r="I3" s="34">
        <v>45606.0</v>
      </c>
      <c r="J3" s="32" t="s">
        <v>389</v>
      </c>
      <c r="K3" s="2"/>
      <c r="L3" s="2"/>
      <c r="M3" s="2"/>
      <c r="N3" s="2"/>
      <c r="O3" s="2"/>
      <c r="P3" s="2"/>
      <c r="Q3" s="2"/>
      <c r="R3" s="2"/>
      <c r="S3" s="2"/>
      <c r="T3" s="2"/>
      <c r="U3" s="2"/>
      <c r="V3" s="2"/>
      <c r="W3" s="2"/>
      <c r="X3" s="2"/>
      <c r="Y3" s="2"/>
      <c r="Z3" s="2"/>
    </row>
    <row r="4">
      <c r="A4" s="31" t="s">
        <v>390</v>
      </c>
      <c r="B4" s="32" t="s">
        <v>391</v>
      </c>
      <c r="C4" s="32" t="s">
        <v>159</v>
      </c>
      <c r="D4" s="32" t="s">
        <v>160</v>
      </c>
      <c r="E4" s="32" t="s">
        <v>392</v>
      </c>
      <c r="F4" s="31"/>
      <c r="G4" s="31" t="s">
        <v>393</v>
      </c>
      <c r="H4" s="33">
        <v>284.0</v>
      </c>
      <c r="I4" s="34">
        <v>45605.0</v>
      </c>
      <c r="J4" s="32" t="s">
        <v>394</v>
      </c>
      <c r="K4" s="2"/>
      <c r="L4" s="2"/>
      <c r="M4" s="2"/>
      <c r="N4" s="2"/>
      <c r="O4" s="2"/>
      <c r="P4" s="2"/>
      <c r="Q4" s="2"/>
      <c r="R4" s="2"/>
      <c r="S4" s="2"/>
      <c r="T4" s="2"/>
      <c r="U4" s="2"/>
      <c r="V4" s="2"/>
      <c r="W4" s="2"/>
      <c r="X4" s="2"/>
      <c r="Y4" s="2"/>
      <c r="Z4" s="2"/>
    </row>
    <row r="5">
      <c r="A5" s="31" t="s">
        <v>395</v>
      </c>
      <c r="B5" s="32" t="s">
        <v>396</v>
      </c>
      <c r="C5" s="32" t="s">
        <v>164</v>
      </c>
      <c r="D5" s="32" t="s">
        <v>165</v>
      </c>
      <c r="E5" s="32" t="s">
        <v>397</v>
      </c>
      <c r="F5" s="31"/>
      <c r="G5" s="31" t="s">
        <v>398</v>
      </c>
      <c r="H5" s="33">
        <v>323.0</v>
      </c>
      <c r="I5" s="34">
        <v>45605.0</v>
      </c>
      <c r="J5" s="32" t="s">
        <v>399</v>
      </c>
      <c r="K5" s="2"/>
      <c r="L5" s="2"/>
      <c r="M5" s="2"/>
      <c r="N5" s="2"/>
      <c r="O5" s="2"/>
      <c r="P5" s="2"/>
      <c r="Q5" s="2"/>
      <c r="R5" s="2"/>
      <c r="S5" s="2"/>
      <c r="T5" s="2"/>
      <c r="U5" s="2"/>
      <c r="V5" s="2"/>
      <c r="W5" s="2"/>
      <c r="X5" s="2"/>
      <c r="Y5" s="2"/>
      <c r="Z5" s="2"/>
    </row>
    <row r="6">
      <c r="A6" s="31" t="s">
        <v>400</v>
      </c>
      <c r="B6" s="32" t="s">
        <v>401</v>
      </c>
      <c r="C6" s="32" t="s">
        <v>169</v>
      </c>
      <c r="D6" s="32" t="s">
        <v>170</v>
      </c>
      <c r="E6" s="32" t="s">
        <v>402</v>
      </c>
      <c r="F6" s="31"/>
      <c r="G6" s="31" t="s">
        <v>403</v>
      </c>
      <c r="H6" s="33">
        <v>312.0</v>
      </c>
      <c r="I6" s="34">
        <v>45606.0</v>
      </c>
      <c r="J6" s="32" t="s">
        <v>404</v>
      </c>
      <c r="K6" s="2"/>
      <c r="L6" s="2"/>
      <c r="M6" s="2"/>
      <c r="N6" s="2"/>
      <c r="O6" s="2"/>
      <c r="P6" s="2"/>
      <c r="Q6" s="2"/>
      <c r="R6" s="2"/>
      <c r="S6" s="2"/>
      <c r="T6" s="2"/>
      <c r="U6" s="2"/>
      <c r="V6" s="2"/>
      <c r="W6" s="2"/>
      <c r="X6" s="2"/>
      <c r="Y6" s="2"/>
      <c r="Z6" s="2"/>
    </row>
    <row r="7">
      <c r="A7" s="31" t="s">
        <v>405</v>
      </c>
      <c r="B7" s="32" t="s">
        <v>406</v>
      </c>
      <c r="C7" s="32" t="s">
        <v>174</v>
      </c>
      <c r="D7" s="32" t="s">
        <v>175</v>
      </c>
      <c r="E7" s="32" t="s">
        <v>407</v>
      </c>
      <c r="F7" s="31"/>
      <c r="G7" s="31" t="s">
        <v>408</v>
      </c>
      <c r="H7" s="33">
        <v>338.0</v>
      </c>
      <c r="I7" s="34">
        <v>45604.0</v>
      </c>
      <c r="J7" s="32" t="s">
        <v>409</v>
      </c>
      <c r="K7" s="2"/>
      <c r="L7" s="2"/>
      <c r="M7" s="2"/>
      <c r="N7" s="2"/>
      <c r="O7" s="2"/>
      <c r="P7" s="2"/>
      <c r="Q7" s="2"/>
      <c r="R7" s="2"/>
      <c r="S7" s="2"/>
      <c r="T7" s="2"/>
      <c r="U7" s="2"/>
      <c r="V7" s="2"/>
      <c r="W7" s="2"/>
      <c r="X7" s="2"/>
      <c r="Y7" s="2"/>
      <c r="Z7" s="2"/>
    </row>
    <row r="8">
      <c r="A8" s="31" t="s">
        <v>410</v>
      </c>
      <c r="B8" s="32" t="s">
        <v>411</v>
      </c>
      <c r="C8" s="32" t="s">
        <v>179</v>
      </c>
      <c r="D8" s="32" t="s">
        <v>180</v>
      </c>
      <c r="E8" s="32" t="s">
        <v>412</v>
      </c>
      <c r="F8" s="31"/>
      <c r="G8" s="31" t="s">
        <v>413</v>
      </c>
      <c r="H8" s="33">
        <v>254.0</v>
      </c>
      <c r="I8" s="34">
        <v>45696.0</v>
      </c>
      <c r="J8" s="32" t="s">
        <v>414</v>
      </c>
      <c r="K8" s="2"/>
      <c r="L8" s="2"/>
      <c r="M8" s="2"/>
      <c r="N8" s="2"/>
      <c r="O8" s="2"/>
      <c r="P8" s="2"/>
      <c r="Q8" s="2"/>
      <c r="R8" s="2"/>
      <c r="S8" s="2"/>
      <c r="T8" s="2"/>
      <c r="U8" s="2"/>
      <c r="V8" s="2"/>
      <c r="W8" s="2"/>
      <c r="X8" s="2"/>
      <c r="Y8" s="2"/>
      <c r="Z8" s="2"/>
    </row>
    <row r="9">
      <c r="A9" s="31" t="s">
        <v>415</v>
      </c>
      <c r="B9" s="32" t="s">
        <v>416</v>
      </c>
      <c r="C9" s="32" t="s">
        <v>184</v>
      </c>
      <c r="D9" s="32" t="s">
        <v>185</v>
      </c>
      <c r="E9" s="32" t="s">
        <v>417</v>
      </c>
      <c r="F9" s="31"/>
      <c r="G9" s="31" t="s">
        <v>418</v>
      </c>
      <c r="H9" s="33">
        <v>224.0</v>
      </c>
      <c r="I9" s="34">
        <v>45640.0</v>
      </c>
      <c r="J9" s="32" t="s">
        <v>419</v>
      </c>
      <c r="K9" s="2"/>
      <c r="L9" s="2"/>
      <c r="M9" s="2"/>
      <c r="N9" s="2"/>
      <c r="O9" s="2"/>
      <c r="P9" s="2"/>
      <c r="Q9" s="2"/>
      <c r="R9" s="2"/>
      <c r="S9" s="2"/>
      <c r="T9" s="2"/>
      <c r="U9" s="2"/>
      <c r="V9" s="2"/>
      <c r="W9" s="2"/>
      <c r="X9" s="2"/>
      <c r="Y9" s="2"/>
      <c r="Z9" s="2"/>
    </row>
    <row r="10">
      <c r="A10" s="31" t="s">
        <v>420</v>
      </c>
      <c r="B10" s="32" t="s">
        <v>421</v>
      </c>
      <c r="C10" s="32" t="s">
        <v>189</v>
      </c>
      <c r="D10" s="32" t="s">
        <v>190</v>
      </c>
      <c r="E10" s="32" t="s">
        <v>422</v>
      </c>
      <c r="F10" s="31"/>
      <c r="G10" s="31" t="s">
        <v>423</v>
      </c>
      <c r="H10" s="33">
        <v>269.0</v>
      </c>
      <c r="I10" s="34">
        <v>45610.0</v>
      </c>
      <c r="J10" s="32" t="s">
        <v>424</v>
      </c>
      <c r="K10" s="2"/>
      <c r="L10" s="2"/>
      <c r="M10" s="2"/>
      <c r="N10" s="2"/>
      <c r="O10" s="2"/>
      <c r="P10" s="2"/>
      <c r="Q10" s="2"/>
      <c r="R10" s="2"/>
      <c r="S10" s="2"/>
      <c r="T10" s="2"/>
      <c r="U10" s="2"/>
      <c r="V10" s="2"/>
      <c r="W10" s="2"/>
      <c r="X10" s="2"/>
      <c r="Y10" s="2"/>
      <c r="Z10" s="2"/>
    </row>
    <row r="11">
      <c r="A11" s="31" t="s">
        <v>425</v>
      </c>
      <c r="B11" s="32" t="s">
        <v>426</v>
      </c>
      <c r="C11" s="32" t="s">
        <v>194</v>
      </c>
      <c r="D11" s="35" t="s">
        <v>195</v>
      </c>
      <c r="E11" s="32" t="s">
        <v>427</v>
      </c>
      <c r="F11" s="31"/>
      <c r="G11" s="31" t="s">
        <v>428</v>
      </c>
      <c r="H11" s="33">
        <v>221.0</v>
      </c>
      <c r="I11" s="34">
        <v>45641.0</v>
      </c>
      <c r="J11" s="32" t="s">
        <v>429</v>
      </c>
      <c r="K11" s="2"/>
      <c r="L11" s="2"/>
      <c r="M11" s="2"/>
      <c r="N11" s="2"/>
      <c r="O11" s="2"/>
      <c r="P11" s="2"/>
      <c r="Q11" s="2"/>
      <c r="R11" s="2"/>
      <c r="S11" s="2"/>
      <c r="T11" s="2"/>
      <c r="U11" s="2"/>
      <c r="V11" s="2"/>
      <c r="W11" s="2"/>
      <c r="X11" s="2"/>
      <c r="Y11" s="2"/>
      <c r="Z11" s="2"/>
    </row>
    <row r="12">
      <c r="A12" s="31" t="s">
        <v>430</v>
      </c>
      <c r="B12" s="32" t="s">
        <v>431</v>
      </c>
      <c r="C12" s="32" t="s">
        <v>199</v>
      </c>
      <c r="D12" s="32" t="s">
        <v>200</v>
      </c>
      <c r="E12" s="32" t="s">
        <v>432</v>
      </c>
      <c r="F12" s="31"/>
      <c r="G12" s="31" t="s">
        <v>433</v>
      </c>
      <c r="H12" s="33">
        <v>286.0</v>
      </c>
      <c r="I12" s="34">
        <v>45605.0</v>
      </c>
      <c r="J12" s="32" t="s">
        <v>434</v>
      </c>
      <c r="K12" s="2"/>
      <c r="L12" s="2"/>
      <c r="M12" s="2"/>
      <c r="N12" s="2"/>
      <c r="O12" s="2"/>
      <c r="P12" s="2"/>
      <c r="Q12" s="2"/>
      <c r="R12" s="2"/>
      <c r="S12" s="2"/>
      <c r="T12" s="2"/>
      <c r="U12" s="2"/>
      <c r="V12" s="2"/>
      <c r="W12" s="2"/>
      <c r="X12" s="2"/>
      <c r="Y12" s="2"/>
      <c r="Z12" s="2"/>
    </row>
    <row r="13">
      <c r="A13" s="31" t="s">
        <v>435</v>
      </c>
      <c r="B13" s="32" t="s">
        <v>436</v>
      </c>
      <c r="C13" s="32" t="s">
        <v>204</v>
      </c>
      <c r="D13" s="32" t="s">
        <v>205</v>
      </c>
      <c r="E13" s="32" t="s">
        <v>437</v>
      </c>
      <c r="F13" s="31"/>
      <c r="G13" s="31" t="s">
        <v>438</v>
      </c>
      <c r="H13" s="33">
        <v>319.0</v>
      </c>
      <c r="I13" s="34">
        <v>45607.0</v>
      </c>
      <c r="J13" s="32" t="s">
        <v>439</v>
      </c>
      <c r="K13" s="2"/>
      <c r="L13" s="2"/>
      <c r="M13" s="2"/>
      <c r="N13" s="2"/>
      <c r="O13" s="2"/>
      <c r="P13" s="2"/>
      <c r="Q13" s="2"/>
      <c r="R13" s="2"/>
      <c r="S13" s="2"/>
      <c r="T13" s="2"/>
      <c r="U13" s="2"/>
      <c r="V13" s="2"/>
      <c r="W13" s="2"/>
      <c r="X13" s="2"/>
      <c r="Y13" s="2"/>
      <c r="Z13" s="2"/>
    </row>
    <row r="14">
      <c r="A14" s="31" t="s">
        <v>440</v>
      </c>
      <c r="B14" s="32" t="s">
        <v>441</v>
      </c>
      <c r="C14" s="32" t="s">
        <v>209</v>
      </c>
      <c r="D14" s="32" t="s">
        <v>210</v>
      </c>
      <c r="E14" s="32" t="s">
        <v>442</v>
      </c>
      <c r="F14" s="31"/>
      <c r="G14" s="31" t="s">
        <v>443</v>
      </c>
      <c r="H14" s="33">
        <v>347.0</v>
      </c>
      <c r="I14" s="34">
        <v>45608.0</v>
      </c>
      <c r="J14" s="32" t="s">
        <v>444</v>
      </c>
      <c r="K14" s="2"/>
      <c r="L14" s="2"/>
      <c r="M14" s="2"/>
      <c r="N14" s="2"/>
      <c r="O14" s="2"/>
      <c r="P14" s="2"/>
      <c r="Q14" s="2"/>
      <c r="R14" s="2"/>
      <c r="S14" s="2"/>
      <c r="T14" s="2"/>
      <c r="U14" s="2"/>
      <c r="V14" s="2"/>
      <c r="W14" s="2"/>
      <c r="X14" s="2"/>
      <c r="Y14" s="2"/>
      <c r="Z14" s="2"/>
    </row>
    <row r="15">
      <c r="A15" s="31" t="s">
        <v>445</v>
      </c>
      <c r="B15" s="32" t="s">
        <v>446</v>
      </c>
      <c r="C15" s="32" t="s">
        <v>214</v>
      </c>
      <c r="D15" s="32" t="s">
        <v>215</v>
      </c>
      <c r="E15" s="32" t="s">
        <v>447</v>
      </c>
      <c r="F15" s="31"/>
      <c r="G15" s="31" t="s">
        <v>448</v>
      </c>
      <c r="H15" s="33">
        <v>339.0</v>
      </c>
      <c r="I15" s="34">
        <v>45607.0</v>
      </c>
      <c r="J15" s="32" t="s">
        <v>449</v>
      </c>
      <c r="K15" s="2"/>
      <c r="L15" s="2"/>
      <c r="M15" s="2"/>
      <c r="N15" s="2"/>
      <c r="O15" s="2"/>
      <c r="P15" s="2"/>
      <c r="Q15" s="2"/>
      <c r="R15" s="2"/>
      <c r="S15" s="2"/>
      <c r="T15" s="2"/>
      <c r="U15" s="2"/>
      <c r="V15" s="2"/>
      <c r="W15" s="2"/>
      <c r="X15" s="2"/>
      <c r="Y15" s="2"/>
      <c r="Z15" s="2"/>
    </row>
    <row r="16">
      <c r="A16" s="31" t="s">
        <v>450</v>
      </c>
      <c r="B16" s="32" t="s">
        <v>451</v>
      </c>
      <c r="C16" s="32" t="s">
        <v>219</v>
      </c>
      <c r="D16" s="32" t="s">
        <v>220</v>
      </c>
      <c r="E16" s="32" t="s">
        <v>452</v>
      </c>
      <c r="F16" s="31"/>
      <c r="G16" s="31" t="s">
        <v>453</v>
      </c>
      <c r="H16" s="33">
        <v>328.0</v>
      </c>
      <c r="I16" s="34">
        <v>45610.0</v>
      </c>
      <c r="J16" s="32" t="s">
        <v>454</v>
      </c>
      <c r="K16" s="2"/>
      <c r="L16" s="2"/>
      <c r="M16" s="2"/>
      <c r="N16" s="2"/>
      <c r="O16" s="2"/>
      <c r="P16" s="2"/>
      <c r="Q16" s="2"/>
      <c r="R16" s="2"/>
      <c r="S16" s="2"/>
      <c r="T16" s="2"/>
      <c r="U16" s="2"/>
      <c r="V16" s="2"/>
      <c r="W16" s="2"/>
      <c r="X16" s="2"/>
      <c r="Y16" s="2"/>
      <c r="Z16" s="2"/>
    </row>
    <row r="17">
      <c r="A17" s="31" t="s">
        <v>455</v>
      </c>
      <c r="B17" s="32" t="s">
        <v>456</v>
      </c>
      <c r="C17" s="32" t="s">
        <v>224</v>
      </c>
      <c r="D17" s="32" t="s">
        <v>225</v>
      </c>
      <c r="E17" s="32" t="s">
        <v>457</v>
      </c>
      <c r="F17" s="31"/>
      <c r="G17" s="31" t="s">
        <v>458</v>
      </c>
      <c r="H17" s="33">
        <v>229.0</v>
      </c>
      <c r="I17" s="34">
        <v>45638.0</v>
      </c>
      <c r="J17" s="32" t="s">
        <v>459</v>
      </c>
      <c r="K17" s="2"/>
      <c r="L17" s="2"/>
      <c r="M17" s="2"/>
      <c r="N17" s="2"/>
      <c r="O17" s="2"/>
      <c r="P17" s="2"/>
      <c r="Q17" s="2"/>
      <c r="R17" s="2"/>
      <c r="S17" s="2"/>
      <c r="T17" s="2"/>
      <c r="U17" s="2"/>
      <c r="V17" s="2"/>
      <c r="W17" s="2"/>
      <c r="X17" s="2"/>
      <c r="Y17" s="2"/>
      <c r="Z17" s="2"/>
    </row>
    <row r="18">
      <c r="A18" s="31" t="s">
        <v>460</v>
      </c>
      <c r="B18" s="32" t="s">
        <v>461</v>
      </c>
      <c r="C18" s="32" t="s">
        <v>229</v>
      </c>
      <c r="D18" s="32" t="s">
        <v>230</v>
      </c>
      <c r="E18" s="32" t="s">
        <v>462</v>
      </c>
      <c r="F18" s="31"/>
      <c r="G18" s="31" t="s">
        <v>463</v>
      </c>
      <c r="H18" s="33">
        <v>205.0</v>
      </c>
      <c r="I18" s="34">
        <v>45641.0</v>
      </c>
      <c r="J18" s="32" t="s">
        <v>464</v>
      </c>
      <c r="K18" s="2"/>
      <c r="L18" s="2"/>
      <c r="M18" s="2"/>
      <c r="N18" s="2"/>
      <c r="O18" s="2"/>
      <c r="P18" s="2"/>
      <c r="Q18" s="2"/>
      <c r="R18" s="2"/>
      <c r="S18" s="2"/>
      <c r="T18" s="2"/>
      <c r="U18" s="2"/>
      <c r="V18" s="2"/>
      <c r="W18" s="2"/>
      <c r="X18" s="2"/>
      <c r="Y18" s="2"/>
      <c r="Z18" s="2"/>
    </row>
    <row r="19">
      <c r="A19" s="31" t="s">
        <v>465</v>
      </c>
      <c r="B19" s="32" t="s">
        <v>466</v>
      </c>
      <c r="C19" s="32" t="s">
        <v>234</v>
      </c>
      <c r="D19" s="32" t="s">
        <v>235</v>
      </c>
      <c r="E19" s="32" t="s">
        <v>467</v>
      </c>
      <c r="F19" s="31"/>
      <c r="G19" s="31" t="s">
        <v>468</v>
      </c>
      <c r="H19" s="33">
        <v>234.0</v>
      </c>
      <c r="I19" s="34">
        <v>45609.0</v>
      </c>
      <c r="J19" s="32" t="s">
        <v>469</v>
      </c>
      <c r="K19" s="2"/>
      <c r="L19" s="2"/>
      <c r="M19" s="2"/>
      <c r="N19" s="2"/>
      <c r="O19" s="2"/>
      <c r="P19" s="2"/>
      <c r="Q19" s="2"/>
      <c r="R19" s="2"/>
      <c r="S19" s="2"/>
      <c r="T19" s="2"/>
      <c r="U19" s="2"/>
      <c r="V19" s="2"/>
      <c r="W19" s="2"/>
      <c r="X19" s="2"/>
      <c r="Y19" s="2"/>
      <c r="Z19" s="2"/>
    </row>
    <row r="20">
      <c r="A20" s="31" t="s">
        <v>470</v>
      </c>
      <c r="B20" s="32" t="s">
        <v>471</v>
      </c>
      <c r="C20" s="32" t="s">
        <v>239</v>
      </c>
      <c r="D20" s="32" t="s">
        <v>240</v>
      </c>
      <c r="E20" s="32" t="s">
        <v>472</v>
      </c>
      <c r="F20" s="31"/>
      <c r="G20" s="31" t="s">
        <v>473</v>
      </c>
      <c r="H20" s="33">
        <v>369.0</v>
      </c>
      <c r="I20" s="34">
        <v>45608.0</v>
      </c>
      <c r="J20" s="32" t="s">
        <v>474</v>
      </c>
      <c r="K20" s="2"/>
      <c r="L20" s="2"/>
      <c r="M20" s="2"/>
      <c r="N20" s="2"/>
      <c r="O20" s="2"/>
      <c r="P20" s="2"/>
      <c r="Q20" s="2"/>
      <c r="R20" s="2"/>
      <c r="S20" s="2"/>
      <c r="T20" s="2"/>
      <c r="U20" s="2"/>
      <c r="V20" s="2"/>
      <c r="W20" s="2"/>
      <c r="X20" s="2"/>
      <c r="Y20" s="2"/>
      <c r="Z20" s="2"/>
    </row>
    <row r="21" ht="15.75" customHeight="1">
      <c r="A21" s="31" t="s">
        <v>475</v>
      </c>
      <c r="B21" s="32" t="s">
        <v>476</v>
      </c>
      <c r="C21" s="32" t="s">
        <v>244</v>
      </c>
      <c r="D21" s="32" t="s">
        <v>245</v>
      </c>
      <c r="E21" s="32" t="s">
        <v>477</v>
      </c>
      <c r="F21" s="31"/>
      <c r="G21" s="31" t="s">
        <v>478</v>
      </c>
      <c r="H21" s="33">
        <v>350.0</v>
      </c>
      <c r="I21" s="34">
        <v>45709.0</v>
      </c>
      <c r="J21" s="32" t="s">
        <v>479</v>
      </c>
      <c r="K21" s="2"/>
      <c r="L21" s="2"/>
      <c r="M21" s="2"/>
      <c r="N21" s="2"/>
      <c r="O21" s="2"/>
      <c r="P21" s="2"/>
      <c r="Q21" s="2"/>
      <c r="R21" s="2"/>
      <c r="S21" s="2"/>
      <c r="T21" s="2"/>
      <c r="U21" s="2"/>
      <c r="V21" s="2"/>
      <c r="W21" s="2"/>
      <c r="X21" s="2"/>
      <c r="Y21" s="2"/>
      <c r="Z21" s="2"/>
    </row>
    <row r="22" ht="15.75" customHeight="1">
      <c r="A22" s="31" t="s">
        <v>480</v>
      </c>
      <c r="B22" s="32" t="s">
        <v>481</v>
      </c>
      <c r="C22" s="32" t="s">
        <v>249</v>
      </c>
      <c r="D22" s="32" t="s">
        <v>250</v>
      </c>
      <c r="E22" s="32" t="s">
        <v>482</v>
      </c>
      <c r="F22" s="31"/>
      <c r="G22" s="31" t="s">
        <v>483</v>
      </c>
      <c r="H22" s="33">
        <v>338.0</v>
      </c>
      <c r="I22" s="34">
        <v>45602.0</v>
      </c>
      <c r="J22" s="32" t="s">
        <v>484</v>
      </c>
      <c r="K22" s="2"/>
      <c r="L22" s="2"/>
      <c r="M22" s="2"/>
      <c r="N22" s="2"/>
      <c r="O22" s="2"/>
      <c r="P22" s="2"/>
      <c r="Q22" s="2"/>
      <c r="R22" s="2"/>
      <c r="S22" s="2"/>
      <c r="T22" s="2"/>
      <c r="U22" s="2"/>
      <c r="V22" s="2"/>
      <c r="W22" s="2"/>
      <c r="X22" s="2"/>
      <c r="Y22" s="2"/>
      <c r="Z22" s="2"/>
    </row>
    <row r="23" ht="15.75" customHeight="1">
      <c r="A23" s="31" t="s">
        <v>485</v>
      </c>
      <c r="B23" s="32" t="s">
        <v>486</v>
      </c>
      <c r="C23" s="32" t="s">
        <v>254</v>
      </c>
      <c r="D23" s="32" t="s">
        <v>255</v>
      </c>
      <c r="E23" s="32" t="s">
        <v>487</v>
      </c>
      <c r="F23" s="31"/>
      <c r="G23" s="31" t="s">
        <v>488</v>
      </c>
      <c r="H23" s="33">
        <v>296.0</v>
      </c>
      <c r="I23" s="34">
        <v>45602.0</v>
      </c>
      <c r="J23" s="32" t="s">
        <v>489</v>
      </c>
      <c r="K23" s="2"/>
      <c r="L23" s="2"/>
      <c r="M23" s="2"/>
      <c r="N23" s="2"/>
      <c r="O23" s="2"/>
      <c r="P23" s="2"/>
      <c r="Q23" s="2"/>
      <c r="R23" s="2"/>
      <c r="S23" s="2"/>
      <c r="T23" s="2"/>
      <c r="U23" s="2"/>
      <c r="V23" s="2"/>
      <c r="W23" s="2"/>
      <c r="X23" s="2"/>
      <c r="Y23" s="2"/>
      <c r="Z23" s="2"/>
    </row>
    <row r="24" ht="15.75" customHeight="1">
      <c r="A24" s="31" t="s">
        <v>490</v>
      </c>
      <c r="B24" s="32" t="s">
        <v>491</v>
      </c>
      <c r="C24" s="32" t="s">
        <v>259</v>
      </c>
      <c r="D24" s="32" t="s">
        <v>260</v>
      </c>
      <c r="E24" s="32" t="s">
        <v>492</v>
      </c>
      <c r="F24" s="31"/>
      <c r="G24" s="31" t="s">
        <v>493</v>
      </c>
      <c r="H24" s="33">
        <v>348.0</v>
      </c>
      <c r="I24" s="34">
        <v>45602.0</v>
      </c>
      <c r="J24" s="32" t="s">
        <v>494</v>
      </c>
      <c r="K24" s="2"/>
      <c r="L24" s="2"/>
      <c r="M24" s="2"/>
      <c r="N24" s="2"/>
      <c r="O24" s="2"/>
      <c r="P24" s="2"/>
      <c r="Q24" s="2"/>
      <c r="R24" s="2"/>
      <c r="S24" s="2"/>
      <c r="T24" s="2"/>
      <c r="U24" s="2"/>
      <c r="V24" s="2"/>
      <c r="W24" s="2"/>
      <c r="X24" s="2"/>
      <c r="Y24" s="2"/>
      <c r="Z24" s="2"/>
    </row>
    <row r="25" ht="15.75" customHeight="1">
      <c r="A25" s="31" t="s">
        <v>495</v>
      </c>
      <c r="B25" s="32" t="s">
        <v>496</v>
      </c>
      <c r="C25" s="32" t="s">
        <v>264</v>
      </c>
      <c r="D25" s="32" t="s">
        <v>265</v>
      </c>
      <c r="E25" s="32" t="s">
        <v>497</v>
      </c>
      <c r="F25" s="31"/>
      <c r="G25" s="31" t="s">
        <v>498</v>
      </c>
      <c r="H25" s="33">
        <v>334.0</v>
      </c>
      <c r="I25" s="34">
        <v>45709.0</v>
      </c>
      <c r="J25" s="32" t="s">
        <v>499</v>
      </c>
      <c r="K25" s="2"/>
      <c r="L25" s="2"/>
      <c r="M25" s="2"/>
      <c r="N25" s="2"/>
      <c r="O25" s="2"/>
      <c r="P25" s="2"/>
      <c r="Q25" s="2"/>
      <c r="R25" s="2"/>
      <c r="S25" s="2"/>
      <c r="T25" s="2"/>
      <c r="U25" s="2"/>
      <c r="V25" s="2"/>
      <c r="W25" s="2"/>
      <c r="X25" s="2"/>
      <c r="Y25" s="2"/>
      <c r="Z25" s="2"/>
    </row>
    <row r="26" ht="15.75" customHeight="1">
      <c r="A26" s="31" t="s">
        <v>500</v>
      </c>
      <c r="B26" s="32" t="s">
        <v>501</v>
      </c>
      <c r="C26" s="32" t="s">
        <v>269</v>
      </c>
      <c r="D26" s="32" t="s">
        <v>270</v>
      </c>
      <c r="E26" s="32" t="s">
        <v>502</v>
      </c>
      <c r="F26" s="31"/>
      <c r="G26" s="31" t="s">
        <v>503</v>
      </c>
      <c r="H26" s="33">
        <v>344.0</v>
      </c>
      <c r="I26" s="34">
        <v>45708.0</v>
      </c>
      <c r="J26" s="32" t="s">
        <v>504</v>
      </c>
      <c r="K26" s="2"/>
      <c r="L26" s="2"/>
      <c r="M26" s="2"/>
      <c r="N26" s="2"/>
      <c r="O26" s="2"/>
      <c r="P26" s="2"/>
      <c r="Q26" s="2"/>
      <c r="R26" s="2"/>
      <c r="S26" s="2"/>
      <c r="T26" s="2"/>
      <c r="U26" s="2"/>
      <c r="V26" s="2"/>
      <c r="W26" s="2"/>
      <c r="X26" s="2"/>
      <c r="Y26" s="2"/>
      <c r="Z26" s="2"/>
    </row>
    <row r="27" ht="15.75" customHeight="1">
      <c r="A27" s="31" t="s">
        <v>505</v>
      </c>
      <c r="B27" s="32" t="s">
        <v>506</v>
      </c>
      <c r="C27" s="32" t="s">
        <v>274</v>
      </c>
      <c r="D27" s="32" t="s">
        <v>275</v>
      </c>
      <c r="E27" s="32" t="s">
        <v>507</v>
      </c>
      <c r="F27" s="31"/>
      <c r="G27" s="31" t="s">
        <v>508</v>
      </c>
      <c r="H27" s="33">
        <v>336.0</v>
      </c>
      <c r="I27" s="34">
        <v>45710.0</v>
      </c>
      <c r="J27" s="32" t="s">
        <v>509</v>
      </c>
      <c r="K27" s="2"/>
      <c r="L27" s="2"/>
      <c r="M27" s="2"/>
      <c r="N27" s="2"/>
      <c r="O27" s="2"/>
      <c r="P27" s="2"/>
      <c r="Q27" s="2"/>
      <c r="R27" s="2"/>
      <c r="S27" s="2"/>
      <c r="T27" s="2"/>
      <c r="U27" s="2"/>
      <c r="V27" s="2"/>
      <c r="W27" s="2"/>
      <c r="X27" s="2"/>
      <c r="Y27" s="2"/>
      <c r="Z27" s="2"/>
    </row>
    <row r="28" ht="15.75" customHeight="1">
      <c r="A28" s="31" t="s">
        <v>510</v>
      </c>
      <c r="B28" s="32" t="s">
        <v>511</v>
      </c>
      <c r="C28" s="32" t="s">
        <v>279</v>
      </c>
      <c r="D28" s="32" t="s">
        <v>280</v>
      </c>
      <c r="E28" s="32" t="s">
        <v>512</v>
      </c>
      <c r="F28" s="31"/>
      <c r="G28" s="31" t="s">
        <v>513</v>
      </c>
      <c r="H28" s="33">
        <v>345.0</v>
      </c>
      <c r="I28" s="34">
        <v>45604.0</v>
      </c>
      <c r="J28" s="32" t="s">
        <v>514</v>
      </c>
      <c r="K28" s="2"/>
      <c r="L28" s="2"/>
      <c r="M28" s="2"/>
      <c r="N28" s="2"/>
      <c r="O28" s="2"/>
      <c r="P28" s="2"/>
      <c r="Q28" s="2"/>
      <c r="R28" s="2"/>
      <c r="S28" s="2"/>
      <c r="T28" s="2"/>
      <c r="U28" s="2"/>
      <c r="V28" s="2"/>
      <c r="W28" s="2"/>
      <c r="X28" s="2"/>
      <c r="Y28" s="2"/>
      <c r="Z28" s="2"/>
    </row>
    <row r="29" ht="15.75" customHeight="1">
      <c r="A29" s="31" t="s">
        <v>515</v>
      </c>
      <c r="B29" s="32" t="s">
        <v>516</v>
      </c>
      <c r="C29" s="32" t="s">
        <v>284</v>
      </c>
      <c r="D29" s="32" t="s">
        <v>285</v>
      </c>
      <c r="E29" s="32" t="s">
        <v>517</v>
      </c>
      <c r="F29" s="31"/>
      <c r="G29" s="31" t="s">
        <v>518</v>
      </c>
      <c r="H29" s="33">
        <v>334.0</v>
      </c>
      <c r="I29" s="34">
        <v>45708.0</v>
      </c>
      <c r="J29" s="32" t="s">
        <v>519</v>
      </c>
      <c r="K29" s="2"/>
      <c r="L29" s="2"/>
      <c r="M29" s="2"/>
      <c r="N29" s="2"/>
      <c r="O29" s="2"/>
      <c r="P29" s="2"/>
      <c r="Q29" s="2"/>
      <c r="R29" s="2"/>
      <c r="S29" s="2"/>
      <c r="T29" s="2"/>
      <c r="U29" s="2"/>
      <c r="V29" s="2"/>
      <c r="W29" s="2"/>
      <c r="X29" s="2"/>
      <c r="Y29" s="2"/>
      <c r="Z29" s="2"/>
    </row>
    <row r="30" ht="15.75" customHeight="1">
      <c r="A30" s="31" t="s">
        <v>520</v>
      </c>
      <c r="B30" s="32" t="s">
        <v>521</v>
      </c>
      <c r="C30" s="32" t="s">
        <v>289</v>
      </c>
      <c r="D30" s="32" t="s">
        <v>290</v>
      </c>
      <c r="E30" s="32" t="s">
        <v>522</v>
      </c>
      <c r="F30" s="31"/>
      <c r="G30" s="31" t="s">
        <v>523</v>
      </c>
      <c r="H30" s="33">
        <v>295.0</v>
      </c>
      <c r="I30" s="34">
        <v>45710.0</v>
      </c>
      <c r="J30" s="32" t="s">
        <v>524</v>
      </c>
      <c r="K30" s="2"/>
      <c r="L30" s="2"/>
      <c r="M30" s="2"/>
      <c r="N30" s="2"/>
      <c r="O30" s="2"/>
      <c r="P30" s="2"/>
      <c r="Q30" s="2"/>
      <c r="R30" s="2"/>
      <c r="S30" s="2"/>
      <c r="T30" s="2"/>
      <c r="U30" s="2"/>
      <c r="V30" s="2"/>
      <c r="W30" s="2"/>
      <c r="X30" s="2"/>
      <c r="Y30" s="2"/>
      <c r="Z30" s="2"/>
    </row>
    <row r="31" ht="15.75" customHeight="1">
      <c r="A31" s="31" t="s">
        <v>525</v>
      </c>
      <c r="B31" s="32" t="s">
        <v>526</v>
      </c>
      <c r="C31" s="32" t="s">
        <v>294</v>
      </c>
      <c r="D31" s="32" t="s">
        <v>295</v>
      </c>
      <c r="E31" s="32" t="s">
        <v>527</v>
      </c>
      <c r="F31" s="31"/>
      <c r="G31" s="31" t="s">
        <v>528</v>
      </c>
      <c r="H31" s="33">
        <v>302.0</v>
      </c>
      <c r="I31" s="34">
        <v>45710.0</v>
      </c>
      <c r="J31" s="32" t="s">
        <v>529</v>
      </c>
      <c r="K31" s="2"/>
      <c r="L31" s="2"/>
      <c r="M31" s="2"/>
      <c r="N31" s="2"/>
      <c r="O31" s="2"/>
      <c r="P31" s="2"/>
      <c r="Q31" s="2"/>
      <c r="R31" s="2"/>
      <c r="S31" s="2"/>
      <c r="T31" s="2"/>
      <c r="U31" s="2"/>
      <c r="V31" s="2"/>
      <c r="W31" s="2"/>
      <c r="X31" s="2"/>
      <c r="Y31" s="2"/>
      <c r="Z31" s="2"/>
    </row>
    <row r="32" ht="15.75" customHeight="1">
      <c r="A32" s="31" t="s">
        <v>530</v>
      </c>
      <c r="B32" s="32" t="s">
        <v>531</v>
      </c>
      <c r="C32" s="32" t="s">
        <v>299</v>
      </c>
      <c r="D32" s="32" t="s">
        <v>300</v>
      </c>
      <c r="E32" s="32" t="s">
        <v>532</v>
      </c>
      <c r="F32" s="31"/>
      <c r="G32" s="31" t="s">
        <v>533</v>
      </c>
      <c r="H32" s="33">
        <v>315.0</v>
      </c>
      <c r="I32" s="34">
        <v>45607.0</v>
      </c>
      <c r="J32" s="32" t="s">
        <v>534</v>
      </c>
      <c r="K32" s="2"/>
      <c r="L32" s="2"/>
      <c r="M32" s="2"/>
      <c r="N32" s="2"/>
      <c r="O32" s="2"/>
      <c r="P32" s="2"/>
      <c r="Q32" s="2"/>
      <c r="R32" s="2"/>
      <c r="S32" s="2"/>
      <c r="T32" s="2"/>
      <c r="U32" s="2"/>
      <c r="V32" s="2"/>
      <c r="W32" s="2"/>
      <c r="X32" s="2"/>
      <c r="Y32" s="2"/>
      <c r="Z32" s="2"/>
    </row>
    <row r="33" ht="15.75" customHeight="1">
      <c r="A33" s="31" t="s">
        <v>535</v>
      </c>
      <c r="B33" s="32" t="s">
        <v>536</v>
      </c>
      <c r="C33" s="32" t="s">
        <v>304</v>
      </c>
      <c r="D33" s="32" t="s">
        <v>305</v>
      </c>
      <c r="E33" s="32" t="s">
        <v>537</v>
      </c>
      <c r="F33" s="31"/>
      <c r="G33" s="31" t="s">
        <v>538</v>
      </c>
      <c r="H33" s="33">
        <v>14.0</v>
      </c>
      <c r="I33" s="34">
        <v>45609.0</v>
      </c>
      <c r="J33" s="32" t="s">
        <v>539</v>
      </c>
      <c r="K33" s="2"/>
      <c r="L33" s="2"/>
      <c r="M33" s="2"/>
      <c r="N33" s="2"/>
      <c r="O33" s="2"/>
      <c r="P33" s="2"/>
      <c r="Q33" s="2"/>
      <c r="R33" s="2"/>
      <c r="S33" s="2"/>
      <c r="T33" s="2"/>
      <c r="U33" s="2"/>
      <c r="V33" s="2"/>
      <c r="W33" s="2"/>
      <c r="X33" s="2"/>
      <c r="Y33" s="2"/>
      <c r="Z33" s="2"/>
    </row>
    <row r="34" ht="15.75" customHeight="1">
      <c r="A34" s="31" t="s">
        <v>540</v>
      </c>
      <c r="B34" s="32" t="s">
        <v>541</v>
      </c>
      <c r="C34" s="32" t="s">
        <v>309</v>
      </c>
      <c r="D34" s="32" t="s">
        <v>310</v>
      </c>
      <c r="E34" s="32" t="s">
        <v>542</v>
      </c>
      <c r="F34" s="31"/>
      <c r="G34" s="31" t="s">
        <v>543</v>
      </c>
      <c r="H34" s="33">
        <v>324.0</v>
      </c>
      <c r="I34" s="34">
        <v>45609.0</v>
      </c>
      <c r="J34" s="32" t="s">
        <v>544</v>
      </c>
      <c r="K34" s="2"/>
      <c r="L34" s="2"/>
      <c r="M34" s="2"/>
      <c r="N34" s="2"/>
      <c r="O34" s="2"/>
      <c r="P34" s="2"/>
      <c r="Q34" s="2"/>
      <c r="R34" s="2"/>
      <c r="S34" s="2"/>
      <c r="T34" s="2"/>
      <c r="U34" s="2"/>
      <c r="V34" s="2"/>
      <c r="W34" s="2"/>
      <c r="X34" s="2"/>
      <c r="Y34" s="2"/>
      <c r="Z34" s="2"/>
    </row>
    <row r="35" ht="15.75" customHeight="1">
      <c r="A35" s="31" t="s">
        <v>545</v>
      </c>
      <c r="B35" s="32" t="s">
        <v>546</v>
      </c>
      <c r="C35" s="32" t="s">
        <v>314</v>
      </c>
      <c r="D35" s="32" t="s">
        <v>315</v>
      </c>
      <c r="E35" s="32" t="s">
        <v>547</v>
      </c>
      <c r="F35" s="31"/>
      <c r="G35" s="31" t="s">
        <v>548</v>
      </c>
      <c r="H35" s="33">
        <v>277.0</v>
      </c>
      <c r="I35" s="34">
        <v>45606.0</v>
      </c>
      <c r="J35" s="32" t="s">
        <v>549</v>
      </c>
      <c r="K35" s="2"/>
      <c r="L35" s="2"/>
      <c r="M35" s="2"/>
      <c r="N35" s="2"/>
      <c r="O35" s="2"/>
      <c r="P35" s="2"/>
      <c r="Q35" s="2"/>
      <c r="R35" s="2"/>
      <c r="S35" s="2"/>
      <c r="T35" s="2"/>
      <c r="U35" s="2"/>
      <c r="V35" s="2"/>
      <c r="W35" s="2"/>
      <c r="X35" s="2"/>
      <c r="Y35" s="2"/>
      <c r="Z35" s="2"/>
    </row>
    <row r="36" ht="15.75" customHeight="1">
      <c r="A36" s="31" t="s">
        <v>550</v>
      </c>
      <c r="B36" s="32" t="s">
        <v>551</v>
      </c>
      <c r="C36" s="32" t="s">
        <v>319</v>
      </c>
      <c r="D36" s="32" t="s">
        <v>320</v>
      </c>
      <c r="E36" s="32" t="s">
        <v>552</v>
      </c>
      <c r="F36" s="31"/>
      <c r="G36" s="31" t="s">
        <v>553</v>
      </c>
      <c r="H36" s="33">
        <v>328.0</v>
      </c>
      <c r="I36" s="34">
        <v>45601.0</v>
      </c>
      <c r="J36" s="32" t="s">
        <v>554</v>
      </c>
      <c r="K36" s="2"/>
      <c r="L36" s="2"/>
      <c r="M36" s="2"/>
      <c r="N36" s="2"/>
      <c r="O36" s="2"/>
      <c r="P36" s="2"/>
      <c r="Q36" s="2"/>
      <c r="R36" s="2"/>
      <c r="S36" s="2"/>
      <c r="T36" s="2"/>
      <c r="U36" s="2"/>
      <c r="V36" s="2"/>
      <c r="W36" s="2"/>
      <c r="X36" s="2"/>
      <c r="Y36" s="2"/>
      <c r="Z36" s="2"/>
    </row>
    <row r="37" ht="15.75" customHeight="1">
      <c r="A37" s="31" t="s">
        <v>555</v>
      </c>
      <c r="B37" s="32" t="s">
        <v>556</v>
      </c>
      <c r="C37" s="32" t="s">
        <v>324</v>
      </c>
      <c r="D37" s="32" t="s">
        <v>325</v>
      </c>
      <c r="E37" s="32" t="s">
        <v>557</v>
      </c>
      <c r="F37" s="31"/>
      <c r="G37" s="31" t="s">
        <v>558</v>
      </c>
      <c r="H37" s="33">
        <v>327.0</v>
      </c>
      <c r="I37" s="34">
        <v>45709.0</v>
      </c>
      <c r="J37" s="32" t="s">
        <v>559</v>
      </c>
      <c r="K37" s="2"/>
      <c r="L37" s="2"/>
      <c r="M37" s="2"/>
      <c r="N37" s="2"/>
      <c r="O37" s="2"/>
      <c r="P37" s="2"/>
      <c r="Q37" s="2"/>
      <c r="R37" s="2"/>
      <c r="S37" s="2"/>
      <c r="T37" s="2"/>
      <c r="U37" s="2"/>
      <c r="V37" s="2"/>
      <c r="W37" s="2"/>
      <c r="X37" s="2"/>
      <c r="Y37" s="2"/>
      <c r="Z37" s="2"/>
    </row>
    <row r="38"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5.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5.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5.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5.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5.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5.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5.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5.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5.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5.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5.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5.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5.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5.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5.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5.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5.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5.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5.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5.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5.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5.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5.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5.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5.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5.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5.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5.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5.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5.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sheetData>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1.0"/>
    <col customWidth="1" min="2" max="2" width="33.25"/>
    <col customWidth="1" min="3" max="3" width="29.75"/>
    <col customWidth="1" min="4" max="5" width="48.13"/>
    <col customWidth="1" min="6" max="6" width="15.75"/>
    <col customWidth="1" min="7" max="7" width="26.25"/>
    <col customWidth="1" min="8" max="9" width="29.75"/>
    <col customWidth="1" min="10" max="10" width="31.5"/>
    <col customWidth="1" min="11" max="11" width="48.13"/>
    <col customWidth="1" min="12" max="12" width="56.88"/>
    <col customWidth="1" min="13" max="13" width="39.38"/>
    <col customWidth="1" min="14" max="14" width="21.0"/>
    <col customWidth="1" min="15" max="16" width="15.75"/>
    <col customWidth="1" min="17" max="17" width="42.0"/>
    <col customWidth="1" min="18" max="18" width="43.75"/>
    <col customWidth="1" min="19" max="19" width="38.5"/>
    <col customWidth="1" min="20" max="20" width="12.25"/>
    <col customWidth="1" min="21" max="21" width="15.75"/>
    <col customWidth="1" min="22" max="22" width="12.25"/>
    <col customWidth="1" min="23" max="24" width="45.5"/>
    <col customWidth="1" min="25" max="25" width="24.5"/>
    <col customWidth="1" min="26" max="26" width="36.75"/>
    <col customWidth="1" min="27" max="27" width="45.5"/>
  </cols>
  <sheetData>
    <row r="1" ht="24.0" customHeight="1">
      <c r="A1" s="1" t="s">
        <v>377</v>
      </c>
      <c r="B1" s="1" t="s">
        <v>560</v>
      </c>
      <c r="C1" s="1" t="s">
        <v>561</v>
      </c>
      <c r="D1" s="1" t="s">
        <v>562</v>
      </c>
      <c r="E1" s="1" t="s">
        <v>563</v>
      </c>
      <c r="F1" s="1" t="s">
        <v>564</v>
      </c>
      <c r="G1" s="1" t="s">
        <v>565</v>
      </c>
      <c r="H1" s="1" t="s">
        <v>566</v>
      </c>
      <c r="I1" s="1" t="s">
        <v>567</v>
      </c>
      <c r="J1" s="1" t="s">
        <v>568</v>
      </c>
      <c r="K1" s="1" t="s">
        <v>569</v>
      </c>
      <c r="L1" s="1" t="s">
        <v>570</v>
      </c>
      <c r="M1" s="1" t="s">
        <v>571</v>
      </c>
      <c r="N1" s="1" t="s">
        <v>572</v>
      </c>
      <c r="O1" s="1" t="s">
        <v>573</v>
      </c>
      <c r="P1" s="1" t="s">
        <v>574</v>
      </c>
      <c r="Q1" s="1" t="s">
        <v>575</v>
      </c>
      <c r="R1" s="1" t="s">
        <v>576</v>
      </c>
      <c r="S1" s="1" t="s">
        <v>577</v>
      </c>
      <c r="T1" s="1" t="s">
        <v>29</v>
      </c>
      <c r="U1" s="1" t="s">
        <v>30</v>
      </c>
      <c r="V1" s="1" t="s">
        <v>31</v>
      </c>
      <c r="W1" s="1" t="s">
        <v>378</v>
      </c>
      <c r="X1" s="1" t="s">
        <v>26</v>
      </c>
      <c r="Y1" s="1" t="s">
        <v>27</v>
      </c>
      <c r="Z1" s="1" t="s">
        <v>32</v>
      </c>
      <c r="AA1" s="1" t="s">
        <v>379</v>
      </c>
    </row>
    <row r="2" ht="42.0" customHeight="1">
      <c r="A2" s="3" t="s">
        <v>380</v>
      </c>
      <c r="B2" s="3" t="s">
        <v>578</v>
      </c>
      <c r="C2" s="3" t="s">
        <v>579</v>
      </c>
      <c r="D2" s="3" t="s">
        <v>580</v>
      </c>
      <c r="E2" s="3" t="s">
        <v>581</v>
      </c>
      <c r="F2" s="3" t="s">
        <v>582</v>
      </c>
      <c r="G2" s="3" t="s">
        <v>583</v>
      </c>
      <c r="H2" s="3" t="s">
        <v>584</v>
      </c>
      <c r="I2" s="3" t="s">
        <v>585</v>
      </c>
      <c r="J2" s="3" t="s">
        <v>586</v>
      </c>
      <c r="K2" s="3" t="s">
        <v>587</v>
      </c>
      <c r="L2" s="3" t="s">
        <v>588</v>
      </c>
      <c r="M2" s="3" t="s">
        <v>589</v>
      </c>
      <c r="N2" s="3" t="s">
        <v>590</v>
      </c>
      <c r="O2" s="3" t="s">
        <v>591</v>
      </c>
      <c r="P2" s="3" t="s">
        <v>592</v>
      </c>
      <c r="Q2" s="3" t="s">
        <v>593</v>
      </c>
      <c r="R2" s="3" t="s">
        <v>578</v>
      </c>
      <c r="S2" s="3" t="s">
        <v>594</v>
      </c>
      <c r="T2" s="3" t="s">
        <v>383</v>
      </c>
      <c r="U2" s="3">
        <v>227.0</v>
      </c>
      <c r="V2" s="36">
        <v>45640.0</v>
      </c>
      <c r="W2" s="3" t="s">
        <v>381</v>
      </c>
      <c r="X2" s="3" t="s">
        <v>149</v>
      </c>
      <c r="Y2" s="3" t="s">
        <v>150</v>
      </c>
      <c r="Z2" s="3" t="s">
        <v>384</v>
      </c>
      <c r="AA2" s="3" t="s">
        <v>382</v>
      </c>
    </row>
    <row r="3" ht="42.0" customHeight="1">
      <c r="A3" s="3" t="s">
        <v>460</v>
      </c>
      <c r="B3" s="3" t="s">
        <v>595</v>
      </c>
      <c r="C3" s="3" t="s">
        <v>596</v>
      </c>
      <c r="D3" s="3" t="s">
        <v>597</v>
      </c>
      <c r="E3" s="3" t="s">
        <v>598</v>
      </c>
      <c r="F3" s="3" t="s">
        <v>599</v>
      </c>
      <c r="G3" s="3" t="s">
        <v>600</v>
      </c>
      <c r="H3" s="3" t="s">
        <v>601</v>
      </c>
      <c r="I3" s="3" t="s">
        <v>602</v>
      </c>
      <c r="J3" s="3" t="s">
        <v>603</v>
      </c>
      <c r="K3" s="3" t="s">
        <v>604</v>
      </c>
      <c r="L3" s="3" t="s">
        <v>605</v>
      </c>
      <c r="M3" s="3" t="s">
        <v>606</v>
      </c>
      <c r="N3" s="3" t="s">
        <v>590</v>
      </c>
      <c r="O3" s="3" t="s">
        <v>591</v>
      </c>
      <c r="P3" s="3" t="s">
        <v>607</v>
      </c>
      <c r="Q3" s="3" t="s">
        <v>608</v>
      </c>
      <c r="R3" s="3" t="s">
        <v>595</v>
      </c>
      <c r="S3" s="3" t="s">
        <v>594</v>
      </c>
      <c r="T3" s="3" t="s">
        <v>463</v>
      </c>
      <c r="U3" s="3">
        <v>205.0</v>
      </c>
      <c r="V3" s="36">
        <v>45641.0</v>
      </c>
      <c r="W3" s="3" t="s">
        <v>461</v>
      </c>
      <c r="X3" s="3" t="s">
        <v>229</v>
      </c>
      <c r="Y3" s="3" t="s">
        <v>230</v>
      </c>
      <c r="Z3" s="3" t="s">
        <v>464</v>
      </c>
      <c r="AA3" s="3" t="s">
        <v>462</v>
      </c>
    </row>
    <row r="4" ht="42.0" customHeight="1">
      <c r="A4" s="3" t="s">
        <v>405</v>
      </c>
      <c r="B4" s="3" t="s">
        <v>609</v>
      </c>
      <c r="C4" s="3" t="s">
        <v>610</v>
      </c>
      <c r="D4" s="3" t="s">
        <v>611</v>
      </c>
      <c r="E4" s="3" t="s">
        <v>612</v>
      </c>
      <c r="F4" s="3" t="s">
        <v>613</v>
      </c>
      <c r="G4" s="3" t="s">
        <v>614</v>
      </c>
      <c r="H4" s="3" t="s">
        <v>615</v>
      </c>
      <c r="I4" s="3" t="s">
        <v>616</v>
      </c>
      <c r="J4" s="3" t="s">
        <v>617</v>
      </c>
      <c r="K4" s="3" t="s">
        <v>618</v>
      </c>
      <c r="L4" s="3" t="s">
        <v>619</v>
      </c>
      <c r="M4" s="3" t="s">
        <v>620</v>
      </c>
      <c r="N4" s="3" t="s">
        <v>590</v>
      </c>
      <c r="O4" s="3" t="s">
        <v>591</v>
      </c>
      <c r="P4" s="3" t="s">
        <v>621</v>
      </c>
      <c r="Q4" s="3" t="s">
        <v>622</v>
      </c>
      <c r="R4" s="3" t="s">
        <v>609</v>
      </c>
      <c r="S4" s="3" t="s">
        <v>594</v>
      </c>
      <c r="T4" s="3" t="s">
        <v>408</v>
      </c>
      <c r="U4" s="3">
        <v>338.0</v>
      </c>
      <c r="V4" s="36">
        <v>45604.0</v>
      </c>
      <c r="W4" s="3" t="s">
        <v>406</v>
      </c>
      <c r="X4" s="3" t="s">
        <v>174</v>
      </c>
      <c r="Y4" s="3" t="s">
        <v>175</v>
      </c>
      <c r="Z4" s="3" t="s">
        <v>409</v>
      </c>
      <c r="AA4" s="3" t="s">
        <v>407</v>
      </c>
    </row>
    <row r="5" ht="42.0" customHeight="1">
      <c r="A5" s="3" t="s">
        <v>445</v>
      </c>
      <c r="B5" s="3" t="s">
        <v>623</v>
      </c>
      <c r="C5" s="3" t="s">
        <v>624</v>
      </c>
      <c r="D5" s="3" t="s">
        <v>625</v>
      </c>
      <c r="E5" s="3" t="s">
        <v>626</v>
      </c>
      <c r="F5" s="3" t="s">
        <v>582</v>
      </c>
      <c r="G5" s="3" t="s">
        <v>627</v>
      </c>
      <c r="H5" s="3" t="s">
        <v>628</v>
      </c>
      <c r="I5" s="3" t="s">
        <v>629</v>
      </c>
      <c r="J5" s="3" t="s">
        <v>630</v>
      </c>
      <c r="K5" s="3" t="s">
        <v>631</v>
      </c>
      <c r="L5" s="3" t="s">
        <v>588</v>
      </c>
      <c r="M5" s="3" t="s">
        <v>632</v>
      </c>
      <c r="N5" s="3" t="s">
        <v>590</v>
      </c>
      <c r="O5" s="3" t="s">
        <v>591</v>
      </c>
      <c r="P5" s="3" t="s">
        <v>633</v>
      </c>
      <c r="Q5" s="3" t="s">
        <v>634</v>
      </c>
      <c r="R5" s="3" t="s">
        <v>623</v>
      </c>
      <c r="S5" s="3" t="s">
        <v>594</v>
      </c>
      <c r="T5" s="3" t="s">
        <v>448</v>
      </c>
      <c r="U5" s="3">
        <v>339.0</v>
      </c>
      <c r="V5" s="36">
        <v>45607.0</v>
      </c>
      <c r="W5" s="3" t="s">
        <v>446</v>
      </c>
      <c r="X5" s="3" t="s">
        <v>214</v>
      </c>
      <c r="Y5" s="3" t="s">
        <v>215</v>
      </c>
      <c r="Z5" s="3" t="s">
        <v>449</v>
      </c>
      <c r="AA5" s="3" t="s">
        <v>447</v>
      </c>
    </row>
    <row r="6" ht="42.0" customHeight="1">
      <c r="A6" s="3" t="s">
        <v>415</v>
      </c>
      <c r="B6" s="3" t="s">
        <v>635</v>
      </c>
      <c r="C6" s="3" t="s">
        <v>636</v>
      </c>
      <c r="D6" s="3" t="s">
        <v>637</v>
      </c>
      <c r="E6" s="3" t="s">
        <v>638</v>
      </c>
      <c r="F6" s="3" t="s">
        <v>639</v>
      </c>
      <c r="G6" s="3" t="s">
        <v>640</v>
      </c>
      <c r="H6" s="3" t="s">
        <v>641</v>
      </c>
      <c r="I6" s="3" t="s">
        <v>642</v>
      </c>
      <c r="J6" s="3" t="s">
        <v>643</v>
      </c>
      <c r="K6" s="3" t="s">
        <v>644</v>
      </c>
      <c r="L6" s="3" t="s">
        <v>645</v>
      </c>
      <c r="M6" s="3" t="s">
        <v>646</v>
      </c>
      <c r="N6" s="3" t="s">
        <v>590</v>
      </c>
      <c r="O6" s="3" t="s">
        <v>591</v>
      </c>
      <c r="P6" s="3" t="s">
        <v>647</v>
      </c>
      <c r="Q6" s="3" t="s">
        <v>648</v>
      </c>
      <c r="R6" s="3" t="s">
        <v>635</v>
      </c>
      <c r="S6" s="3" t="s">
        <v>594</v>
      </c>
      <c r="T6" s="3" t="s">
        <v>418</v>
      </c>
      <c r="U6" s="3">
        <v>224.0</v>
      </c>
      <c r="V6" s="36">
        <v>45640.0</v>
      </c>
      <c r="W6" s="3" t="s">
        <v>416</v>
      </c>
      <c r="X6" s="3" t="s">
        <v>184</v>
      </c>
      <c r="Y6" s="3" t="s">
        <v>185</v>
      </c>
      <c r="Z6" s="3" t="s">
        <v>419</v>
      </c>
      <c r="AA6" s="3" t="s">
        <v>417</v>
      </c>
    </row>
    <row r="7" ht="42.0" customHeight="1">
      <c r="A7" s="3" t="s">
        <v>420</v>
      </c>
      <c r="B7" s="3" t="s">
        <v>649</v>
      </c>
      <c r="C7" s="3" t="s">
        <v>650</v>
      </c>
      <c r="D7" s="3" t="s">
        <v>651</v>
      </c>
      <c r="E7" s="3" t="s">
        <v>652</v>
      </c>
      <c r="F7" s="3" t="s">
        <v>653</v>
      </c>
      <c r="G7" s="3" t="s">
        <v>654</v>
      </c>
      <c r="H7" s="3" t="s">
        <v>655</v>
      </c>
      <c r="I7" s="3" t="s">
        <v>656</v>
      </c>
      <c r="J7" s="3" t="s">
        <v>657</v>
      </c>
      <c r="K7" s="3" t="s">
        <v>658</v>
      </c>
      <c r="L7" s="3" t="s">
        <v>659</v>
      </c>
      <c r="M7" s="3" t="s">
        <v>660</v>
      </c>
      <c r="N7" s="3" t="s">
        <v>590</v>
      </c>
      <c r="O7" s="3" t="s">
        <v>591</v>
      </c>
      <c r="P7" s="3" t="s">
        <v>661</v>
      </c>
      <c r="Q7" s="3" t="s">
        <v>662</v>
      </c>
      <c r="R7" s="3" t="s">
        <v>663</v>
      </c>
      <c r="S7" s="3" t="s">
        <v>664</v>
      </c>
      <c r="T7" s="3" t="s">
        <v>423</v>
      </c>
      <c r="U7" s="3">
        <v>269.0</v>
      </c>
      <c r="V7" s="36">
        <v>45610.0</v>
      </c>
      <c r="W7" s="3" t="s">
        <v>421</v>
      </c>
      <c r="X7" s="3" t="s">
        <v>189</v>
      </c>
      <c r="Y7" s="3" t="s">
        <v>190</v>
      </c>
      <c r="Z7" s="3" t="s">
        <v>424</v>
      </c>
      <c r="AA7" s="3" t="s">
        <v>422</v>
      </c>
    </row>
    <row r="8" ht="42.0" customHeight="1">
      <c r="A8" s="3" t="s">
        <v>535</v>
      </c>
      <c r="B8" s="3" t="s">
        <v>665</v>
      </c>
      <c r="C8" s="3" t="s">
        <v>666</v>
      </c>
      <c r="D8" s="3" t="s">
        <v>667</v>
      </c>
      <c r="E8" s="3" t="s">
        <v>668</v>
      </c>
      <c r="F8" s="3" t="s">
        <v>669</v>
      </c>
      <c r="G8" s="3" t="s">
        <v>670</v>
      </c>
      <c r="H8" s="3" t="s">
        <v>671</v>
      </c>
      <c r="I8" s="3" t="s">
        <v>672</v>
      </c>
      <c r="J8" s="3" t="s">
        <v>673</v>
      </c>
      <c r="K8" s="3" t="s">
        <v>674</v>
      </c>
      <c r="L8" s="3" t="s">
        <v>675</v>
      </c>
      <c r="M8" s="3" t="s">
        <v>676</v>
      </c>
      <c r="N8" s="3" t="s">
        <v>590</v>
      </c>
      <c r="O8" s="3" t="s">
        <v>591</v>
      </c>
      <c r="P8" s="3" t="s">
        <v>677</v>
      </c>
      <c r="Q8" s="3" t="s">
        <v>678</v>
      </c>
      <c r="R8" s="3" t="s">
        <v>679</v>
      </c>
      <c r="S8" s="3" t="s">
        <v>680</v>
      </c>
      <c r="T8" s="3" t="s">
        <v>538</v>
      </c>
      <c r="U8" s="3">
        <v>14.0</v>
      </c>
      <c r="V8" s="36">
        <v>45609.0</v>
      </c>
      <c r="W8" s="3" t="s">
        <v>536</v>
      </c>
      <c r="X8" s="3" t="s">
        <v>304</v>
      </c>
      <c r="Y8" s="3" t="s">
        <v>305</v>
      </c>
      <c r="Z8" s="3" t="s">
        <v>539</v>
      </c>
      <c r="AA8" s="3" t="s">
        <v>537</v>
      </c>
    </row>
    <row r="9" ht="42.0" customHeight="1">
      <c r="A9" s="3" t="s">
        <v>390</v>
      </c>
      <c r="B9" s="3" t="s">
        <v>681</v>
      </c>
      <c r="C9" s="3" t="s">
        <v>682</v>
      </c>
      <c r="D9" s="3" t="s">
        <v>683</v>
      </c>
      <c r="E9" s="3" t="s">
        <v>684</v>
      </c>
      <c r="F9" s="3" t="s">
        <v>582</v>
      </c>
      <c r="G9" s="3" t="s">
        <v>627</v>
      </c>
      <c r="H9" s="3" t="s">
        <v>685</v>
      </c>
      <c r="I9" s="3" t="s">
        <v>686</v>
      </c>
      <c r="J9" s="3" t="s">
        <v>687</v>
      </c>
      <c r="K9" s="3" t="s">
        <v>688</v>
      </c>
      <c r="L9" s="3" t="s">
        <v>588</v>
      </c>
      <c r="M9" s="3" t="s">
        <v>689</v>
      </c>
      <c r="N9" s="3" t="s">
        <v>590</v>
      </c>
      <c r="O9" s="3" t="s">
        <v>591</v>
      </c>
      <c r="P9" s="3" t="s">
        <v>690</v>
      </c>
      <c r="Q9" s="3" t="s">
        <v>691</v>
      </c>
      <c r="R9" s="3" t="s">
        <v>681</v>
      </c>
      <c r="S9" s="3" t="s">
        <v>594</v>
      </c>
      <c r="T9" s="3" t="s">
        <v>393</v>
      </c>
      <c r="U9" s="3">
        <v>284.0</v>
      </c>
      <c r="V9" s="36">
        <v>45605.0</v>
      </c>
      <c r="W9" s="3" t="s">
        <v>391</v>
      </c>
      <c r="X9" s="3" t="s">
        <v>159</v>
      </c>
      <c r="Y9" s="3" t="s">
        <v>160</v>
      </c>
      <c r="Z9" s="3" t="s">
        <v>394</v>
      </c>
      <c r="AA9" s="3" t="s">
        <v>392</v>
      </c>
    </row>
    <row r="10" ht="42.0" customHeight="1">
      <c r="A10" s="3" t="s">
        <v>400</v>
      </c>
      <c r="B10" s="3" t="s">
        <v>692</v>
      </c>
      <c r="C10" s="3" t="s">
        <v>693</v>
      </c>
      <c r="D10" s="3" t="s">
        <v>694</v>
      </c>
      <c r="E10" s="3" t="s">
        <v>695</v>
      </c>
      <c r="F10" s="3" t="s">
        <v>582</v>
      </c>
      <c r="G10" s="3" t="s">
        <v>627</v>
      </c>
      <c r="H10" s="3" t="s">
        <v>696</v>
      </c>
      <c r="I10" s="3" t="s">
        <v>697</v>
      </c>
      <c r="J10" s="3" t="s">
        <v>698</v>
      </c>
      <c r="K10" s="3" t="s">
        <v>699</v>
      </c>
      <c r="L10" s="3" t="s">
        <v>588</v>
      </c>
      <c r="M10" s="3" t="s">
        <v>700</v>
      </c>
      <c r="N10" s="3" t="s">
        <v>590</v>
      </c>
      <c r="O10" s="3" t="s">
        <v>591</v>
      </c>
      <c r="P10" s="3" t="s">
        <v>701</v>
      </c>
      <c r="Q10" s="3" t="s">
        <v>702</v>
      </c>
      <c r="R10" s="3" t="s">
        <v>692</v>
      </c>
      <c r="S10" s="3" t="s">
        <v>594</v>
      </c>
      <c r="T10" s="3" t="s">
        <v>403</v>
      </c>
      <c r="U10" s="3">
        <v>312.0</v>
      </c>
      <c r="V10" s="36">
        <v>45606.0</v>
      </c>
      <c r="W10" s="3" t="s">
        <v>401</v>
      </c>
      <c r="X10" s="3" t="s">
        <v>169</v>
      </c>
      <c r="Y10" s="3" t="s">
        <v>170</v>
      </c>
      <c r="Z10" s="3" t="s">
        <v>404</v>
      </c>
      <c r="AA10" s="3" t="s">
        <v>402</v>
      </c>
    </row>
    <row r="11" ht="42.0" customHeight="1">
      <c r="A11" s="3" t="s">
        <v>450</v>
      </c>
      <c r="B11" s="3" t="s">
        <v>703</v>
      </c>
      <c r="C11" s="3" t="s">
        <v>704</v>
      </c>
      <c r="D11" s="3" t="s">
        <v>705</v>
      </c>
      <c r="E11" s="3" t="s">
        <v>706</v>
      </c>
      <c r="F11" s="3" t="s">
        <v>599</v>
      </c>
      <c r="G11" s="3" t="s">
        <v>600</v>
      </c>
      <c r="H11" s="3" t="s">
        <v>707</v>
      </c>
      <c r="I11" s="3" t="s">
        <v>708</v>
      </c>
      <c r="J11" s="3" t="s">
        <v>709</v>
      </c>
      <c r="K11" s="3" t="s">
        <v>710</v>
      </c>
      <c r="L11" s="3" t="s">
        <v>605</v>
      </c>
      <c r="M11" s="3" t="s">
        <v>711</v>
      </c>
      <c r="N11" s="3" t="s">
        <v>590</v>
      </c>
      <c r="O11" s="3" t="s">
        <v>591</v>
      </c>
      <c r="P11" s="3" t="s">
        <v>712</v>
      </c>
      <c r="Q11" s="3" t="s">
        <v>713</v>
      </c>
      <c r="R11" s="3" t="s">
        <v>714</v>
      </c>
      <c r="S11" s="3" t="s">
        <v>680</v>
      </c>
      <c r="T11" s="3" t="s">
        <v>453</v>
      </c>
      <c r="U11" s="3">
        <v>328.0</v>
      </c>
      <c r="V11" s="36">
        <v>45610.0</v>
      </c>
      <c r="W11" s="3" t="s">
        <v>451</v>
      </c>
      <c r="X11" s="3" t="s">
        <v>219</v>
      </c>
      <c r="Y11" s="3" t="s">
        <v>220</v>
      </c>
      <c r="Z11" s="3" t="s">
        <v>454</v>
      </c>
      <c r="AA11" s="3" t="s">
        <v>452</v>
      </c>
    </row>
    <row r="12" ht="42.0" customHeight="1">
      <c r="A12" s="3" t="s">
        <v>540</v>
      </c>
      <c r="B12" s="3" t="s">
        <v>715</v>
      </c>
      <c r="C12" s="3" t="s">
        <v>716</v>
      </c>
      <c r="D12" s="3" t="s">
        <v>717</v>
      </c>
      <c r="E12" s="3" t="s">
        <v>718</v>
      </c>
      <c r="F12" s="3" t="s">
        <v>582</v>
      </c>
      <c r="G12" s="3" t="s">
        <v>627</v>
      </c>
      <c r="H12" s="3" t="s">
        <v>719</v>
      </c>
      <c r="I12" s="3" t="s">
        <v>720</v>
      </c>
      <c r="J12" s="3" t="s">
        <v>721</v>
      </c>
      <c r="K12" s="3" t="s">
        <v>722</v>
      </c>
      <c r="L12" s="3" t="s">
        <v>588</v>
      </c>
      <c r="M12" s="3" t="s">
        <v>723</v>
      </c>
      <c r="N12" s="3" t="s">
        <v>590</v>
      </c>
      <c r="O12" s="3" t="s">
        <v>591</v>
      </c>
      <c r="P12" s="3" t="s">
        <v>724</v>
      </c>
      <c r="Q12" s="3" t="s">
        <v>725</v>
      </c>
      <c r="R12" s="3" t="s">
        <v>715</v>
      </c>
      <c r="S12" s="3" t="s">
        <v>594</v>
      </c>
      <c r="T12" s="3" t="s">
        <v>543</v>
      </c>
      <c r="U12" s="3">
        <v>324.0</v>
      </c>
      <c r="V12" s="36">
        <v>45609.0</v>
      </c>
      <c r="W12" s="3" t="s">
        <v>541</v>
      </c>
      <c r="X12" s="3" t="s">
        <v>309</v>
      </c>
      <c r="Y12" s="3" t="s">
        <v>310</v>
      </c>
      <c r="Z12" s="3" t="s">
        <v>544</v>
      </c>
      <c r="AA12" s="3" t="s">
        <v>542</v>
      </c>
    </row>
    <row r="13" ht="42.0" customHeight="1">
      <c r="A13" s="3" t="s">
        <v>465</v>
      </c>
      <c r="B13" s="3" t="s">
        <v>726</v>
      </c>
      <c r="C13" s="3" t="s">
        <v>727</v>
      </c>
      <c r="D13" s="3" t="s">
        <v>728</v>
      </c>
      <c r="E13" s="3" t="s">
        <v>729</v>
      </c>
      <c r="F13" s="3" t="s">
        <v>730</v>
      </c>
      <c r="G13" s="3" t="s">
        <v>731</v>
      </c>
      <c r="H13" s="3" t="s">
        <v>732</v>
      </c>
      <c r="I13" s="3" t="s">
        <v>733</v>
      </c>
      <c r="J13" s="3" t="s">
        <v>734</v>
      </c>
      <c r="K13" s="3" t="s">
        <v>735</v>
      </c>
      <c r="L13" s="3" t="s">
        <v>736</v>
      </c>
      <c r="M13" s="3" t="s">
        <v>737</v>
      </c>
      <c r="N13" s="3" t="s">
        <v>590</v>
      </c>
      <c r="O13" s="3" t="s">
        <v>591</v>
      </c>
      <c r="P13" s="3" t="s">
        <v>738</v>
      </c>
      <c r="Q13" s="3" t="s">
        <v>739</v>
      </c>
      <c r="R13" s="3" t="s">
        <v>740</v>
      </c>
      <c r="S13" s="3" t="s">
        <v>680</v>
      </c>
      <c r="T13" s="3" t="s">
        <v>468</v>
      </c>
      <c r="U13" s="3">
        <v>234.0</v>
      </c>
      <c r="V13" s="36">
        <v>45609.0</v>
      </c>
      <c r="W13" s="3" t="s">
        <v>466</v>
      </c>
      <c r="X13" s="3" t="s">
        <v>234</v>
      </c>
      <c r="Y13" s="3" t="s">
        <v>235</v>
      </c>
      <c r="Z13" s="3" t="s">
        <v>469</v>
      </c>
      <c r="AA13" s="3" t="s">
        <v>467</v>
      </c>
    </row>
    <row r="14" ht="42.0" customHeight="1">
      <c r="A14" s="3" t="s">
        <v>470</v>
      </c>
      <c r="B14" s="3" t="s">
        <v>741</v>
      </c>
      <c r="C14" s="3" t="s">
        <v>742</v>
      </c>
      <c r="D14" s="3" t="s">
        <v>743</v>
      </c>
      <c r="E14" s="3" t="s">
        <v>744</v>
      </c>
      <c r="F14" s="3" t="s">
        <v>745</v>
      </c>
      <c r="G14" s="3" t="s">
        <v>746</v>
      </c>
      <c r="H14" s="3" t="s">
        <v>747</v>
      </c>
      <c r="I14" s="3" t="s">
        <v>748</v>
      </c>
      <c r="J14" s="3" t="s">
        <v>749</v>
      </c>
      <c r="K14" s="3" t="s">
        <v>750</v>
      </c>
      <c r="L14" s="3" t="s">
        <v>751</v>
      </c>
      <c r="M14" s="3" t="s">
        <v>752</v>
      </c>
      <c r="N14" s="3" t="s">
        <v>590</v>
      </c>
      <c r="O14" s="3" t="s">
        <v>591</v>
      </c>
      <c r="P14" s="3" t="s">
        <v>753</v>
      </c>
      <c r="Q14" s="3" t="s">
        <v>754</v>
      </c>
      <c r="R14" s="3" t="s">
        <v>741</v>
      </c>
      <c r="S14" s="3" t="s">
        <v>594</v>
      </c>
      <c r="T14" s="3" t="s">
        <v>473</v>
      </c>
      <c r="U14" s="3">
        <v>369.0</v>
      </c>
      <c r="V14" s="36">
        <v>45608.0</v>
      </c>
      <c r="W14" s="3" t="s">
        <v>471</v>
      </c>
      <c r="X14" s="3" t="s">
        <v>239</v>
      </c>
      <c r="Y14" s="3" t="s">
        <v>240</v>
      </c>
      <c r="Z14" s="3" t="s">
        <v>474</v>
      </c>
      <c r="AA14" s="3" t="s">
        <v>472</v>
      </c>
    </row>
    <row r="15" ht="42.0" customHeight="1">
      <c r="A15" s="3" t="s">
        <v>440</v>
      </c>
      <c r="B15" s="3" t="s">
        <v>755</v>
      </c>
      <c r="C15" s="3" t="s">
        <v>756</v>
      </c>
      <c r="D15" s="3" t="s">
        <v>757</v>
      </c>
      <c r="E15" s="3" t="s">
        <v>758</v>
      </c>
      <c r="F15" s="3" t="s">
        <v>759</v>
      </c>
      <c r="G15" s="3" t="s">
        <v>760</v>
      </c>
      <c r="H15" s="3" t="s">
        <v>761</v>
      </c>
      <c r="I15" s="3" t="s">
        <v>762</v>
      </c>
      <c r="J15" s="3" t="s">
        <v>763</v>
      </c>
      <c r="K15" s="3" t="s">
        <v>764</v>
      </c>
      <c r="L15" s="3" t="s">
        <v>765</v>
      </c>
      <c r="M15" s="3" t="s">
        <v>766</v>
      </c>
      <c r="N15" s="3" t="s">
        <v>590</v>
      </c>
      <c r="O15" s="3" t="s">
        <v>591</v>
      </c>
      <c r="P15" s="3" t="s">
        <v>767</v>
      </c>
      <c r="Q15" s="3" t="s">
        <v>768</v>
      </c>
      <c r="R15" s="3" t="s">
        <v>755</v>
      </c>
      <c r="S15" s="3" t="s">
        <v>594</v>
      </c>
      <c r="T15" s="3" t="s">
        <v>443</v>
      </c>
      <c r="U15" s="3">
        <v>347.0</v>
      </c>
      <c r="V15" s="36">
        <v>45608.0</v>
      </c>
      <c r="W15" s="3" t="s">
        <v>441</v>
      </c>
      <c r="X15" s="3" t="s">
        <v>209</v>
      </c>
      <c r="Y15" s="3" t="s">
        <v>210</v>
      </c>
      <c r="Z15" s="3" t="s">
        <v>444</v>
      </c>
      <c r="AA15" s="3" t="s">
        <v>442</v>
      </c>
    </row>
    <row r="16" ht="42.0" customHeight="1">
      <c r="A16" s="3" t="s">
        <v>545</v>
      </c>
      <c r="B16" s="3" t="s">
        <v>769</v>
      </c>
      <c r="C16" s="3" t="s">
        <v>770</v>
      </c>
      <c r="D16" s="3" t="s">
        <v>771</v>
      </c>
      <c r="E16" s="3" t="s">
        <v>772</v>
      </c>
      <c r="F16" s="3" t="s">
        <v>773</v>
      </c>
      <c r="G16" s="3" t="s">
        <v>774</v>
      </c>
      <c r="H16" s="3" t="s">
        <v>775</v>
      </c>
      <c r="I16" s="3" t="s">
        <v>776</v>
      </c>
      <c r="J16" s="3" t="s">
        <v>777</v>
      </c>
      <c r="K16" s="3" t="s">
        <v>778</v>
      </c>
      <c r="L16" s="3" t="s">
        <v>779</v>
      </c>
      <c r="M16" s="3" t="s">
        <v>780</v>
      </c>
      <c r="N16" s="3" t="s">
        <v>590</v>
      </c>
      <c r="O16" s="3" t="s">
        <v>591</v>
      </c>
      <c r="P16" s="3" t="s">
        <v>781</v>
      </c>
      <c r="Q16" s="3" t="s">
        <v>782</v>
      </c>
      <c r="R16" s="3" t="s">
        <v>769</v>
      </c>
      <c r="S16" s="3" t="s">
        <v>594</v>
      </c>
      <c r="T16" s="3" t="s">
        <v>548</v>
      </c>
      <c r="U16" s="3">
        <v>277.0</v>
      </c>
      <c r="V16" s="36">
        <v>45606.0</v>
      </c>
      <c r="W16" s="3" t="s">
        <v>546</v>
      </c>
      <c r="X16" s="3" t="s">
        <v>314</v>
      </c>
      <c r="Y16" s="3" t="s">
        <v>315</v>
      </c>
      <c r="Z16" s="3" t="s">
        <v>549</v>
      </c>
      <c r="AA16" s="3" t="s">
        <v>547</v>
      </c>
    </row>
    <row r="17" ht="42.0" customHeight="1">
      <c r="A17" s="3" t="s">
        <v>385</v>
      </c>
      <c r="B17" s="3" t="s">
        <v>783</v>
      </c>
      <c r="C17" s="3" t="s">
        <v>784</v>
      </c>
      <c r="D17" s="3" t="s">
        <v>785</v>
      </c>
      <c r="E17" s="3" t="s">
        <v>786</v>
      </c>
      <c r="F17" s="3" t="s">
        <v>787</v>
      </c>
      <c r="G17" s="3" t="s">
        <v>788</v>
      </c>
      <c r="H17" s="3" t="s">
        <v>789</v>
      </c>
      <c r="I17" s="3" t="s">
        <v>790</v>
      </c>
      <c r="J17" s="3" t="s">
        <v>791</v>
      </c>
      <c r="K17" s="3" t="s">
        <v>792</v>
      </c>
      <c r="L17" s="3" t="s">
        <v>793</v>
      </c>
      <c r="M17" s="3" t="s">
        <v>794</v>
      </c>
      <c r="N17" s="3" t="s">
        <v>590</v>
      </c>
      <c r="O17" s="3" t="s">
        <v>591</v>
      </c>
      <c r="P17" s="3" t="s">
        <v>795</v>
      </c>
      <c r="Q17" s="3" t="s">
        <v>796</v>
      </c>
      <c r="R17" s="3" t="s">
        <v>783</v>
      </c>
      <c r="S17" s="3" t="s">
        <v>594</v>
      </c>
      <c r="T17" s="3" t="s">
        <v>388</v>
      </c>
      <c r="U17" s="3">
        <v>330.0</v>
      </c>
      <c r="V17" s="36">
        <v>45606.0</v>
      </c>
      <c r="W17" s="3" t="s">
        <v>386</v>
      </c>
      <c r="X17" s="3" t="s">
        <v>154</v>
      </c>
      <c r="Y17" s="3" t="s">
        <v>155</v>
      </c>
      <c r="Z17" s="3" t="s">
        <v>389</v>
      </c>
      <c r="AA17" s="3" t="s">
        <v>387</v>
      </c>
    </row>
    <row r="18" ht="42.0" customHeight="1">
      <c r="A18" s="3" t="s">
        <v>395</v>
      </c>
      <c r="B18" s="3" t="s">
        <v>797</v>
      </c>
      <c r="C18" s="3" t="s">
        <v>798</v>
      </c>
      <c r="D18" s="3" t="s">
        <v>799</v>
      </c>
      <c r="E18" s="3" t="s">
        <v>800</v>
      </c>
      <c r="F18" s="3" t="s">
        <v>801</v>
      </c>
      <c r="G18" s="3" t="s">
        <v>802</v>
      </c>
      <c r="H18" s="3" t="s">
        <v>803</v>
      </c>
      <c r="I18" s="3" t="s">
        <v>804</v>
      </c>
      <c r="J18" s="3" t="s">
        <v>805</v>
      </c>
      <c r="K18" s="3" t="s">
        <v>806</v>
      </c>
      <c r="L18" s="3" t="s">
        <v>807</v>
      </c>
      <c r="M18" s="3" t="s">
        <v>808</v>
      </c>
      <c r="N18" s="3" t="s">
        <v>590</v>
      </c>
      <c r="O18" s="3" t="s">
        <v>591</v>
      </c>
      <c r="P18" s="3" t="s">
        <v>809</v>
      </c>
      <c r="Q18" s="3" t="s">
        <v>810</v>
      </c>
      <c r="R18" s="3" t="s">
        <v>797</v>
      </c>
      <c r="S18" s="3" t="s">
        <v>594</v>
      </c>
      <c r="T18" s="3" t="s">
        <v>398</v>
      </c>
      <c r="U18" s="3">
        <v>323.0</v>
      </c>
      <c r="V18" s="36">
        <v>45605.0</v>
      </c>
      <c r="W18" s="3" t="s">
        <v>396</v>
      </c>
      <c r="X18" s="3" t="s">
        <v>164</v>
      </c>
      <c r="Y18" s="3" t="s">
        <v>165</v>
      </c>
      <c r="Z18" s="3" t="s">
        <v>399</v>
      </c>
      <c r="AA18" s="3" t="s">
        <v>397</v>
      </c>
    </row>
    <row r="19" ht="42.0" customHeight="1">
      <c r="A19" s="3" t="s">
        <v>430</v>
      </c>
      <c r="B19" s="3" t="s">
        <v>811</v>
      </c>
      <c r="C19" s="3" t="s">
        <v>812</v>
      </c>
      <c r="D19" s="3" t="s">
        <v>813</v>
      </c>
      <c r="E19" s="3" t="s">
        <v>814</v>
      </c>
      <c r="F19" s="3" t="s">
        <v>815</v>
      </c>
      <c r="G19" s="3" t="s">
        <v>816</v>
      </c>
      <c r="H19" s="3" t="s">
        <v>817</v>
      </c>
      <c r="I19" s="3" t="s">
        <v>818</v>
      </c>
      <c r="J19" s="3" t="s">
        <v>819</v>
      </c>
      <c r="K19" s="3" t="s">
        <v>820</v>
      </c>
      <c r="L19" s="3" t="s">
        <v>821</v>
      </c>
      <c r="M19" s="3" t="s">
        <v>822</v>
      </c>
      <c r="N19" s="3" t="s">
        <v>590</v>
      </c>
      <c r="O19" s="3" t="s">
        <v>591</v>
      </c>
      <c r="P19" s="3" t="s">
        <v>823</v>
      </c>
      <c r="Q19" s="3" t="s">
        <v>824</v>
      </c>
      <c r="R19" s="3" t="s">
        <v>811</v>
      </c>
      <c r="S19" s="3" t="s">
        <v>594</v>
      </c>
      <c r="T19" s="3" t="s">
        <v>433</v>
      </c>
      <c r="U19" s="3">
        <v>286.0</v>
      </c>
      <c r="V19" s="36">
        <v>45605.0</v>
      </c>
      <c r="W19" s="3" t="s">
        <v>431</v>
      </c>
      <c r="X19" s="3" t="s">
        <v>199</v>
      </c>
      <c r="Y19" s="3" t="s">
        <v>200</v>
      </c>
      <c r="Z19" s="3" t="s">
        <v>434</v>
      </c>
      <c r="AA19" s="3" t="s">
        <v>432</v>
      </c>
    </row>
    <row r="20" ht="42.0" customHeight="1">
      <c r="A20" s="3" t="s">
        <v>490</v>
      </c>
      <c r="B20" s="3" t="s">
        <v>825</v>
      </c>
      <c r="C20" s="3" t="s">
        <v>826</v>
      </c>
      <c r="D20" s="3" t="s">
        <v>827</v>
      </c>
      <c r="E20" s="3" t="s">
        <v>828</v>
      </c>
      <c r="F20" s="3" t="s">
        <v>599</v>
      </c>
      <c r="G20" s="3" t="s">
        <v>600</v>
      </c>
      <c r="H20" s="3" t="s">
        <v>829</v>
      </c>
      <c r="I20" s="3" t="s">
        <v>830</v>
      </c>
      <c r="J20" s="3" t="s">
        <v>831</v>
      </c>
      <c r="K20" s="3" t="s">
        <v>832</v>
      </c>
      <c r="L20" s="3" t="s">
        <v>605</v>
      </c>
      <c r="M20" s="3" t="s">
        <v>833</v>
      </c>
      <c r="N20" s="3" t="s">
        <v>590</v>
      </c>
      <c r="O20" s="3" t="s">
        <v>591</v>
      </c>
      <c r="P20" s="3" t="s">
        <v>834</v>
      </c>
      <c r="Q20" s="3" t="s">
        <v>835</v>
      </c>
      <c r="R20" s="3" t="s">
        <v>825</v>
      </c>
      <c r="S20" s="3" t="s">
        <v>594</v>
      </c>
      <c r="T20" s="3" t="s">
        <v>493</v>
      </c>
      <c r="U20" s="3">
        <v>348.0</v>
      </c>
      <c r="V20" s="36">
        <v>45602.0</v>
      </c>
      <c r="W20" s="3" t="s">
        <v>491</v>
      </c>
      <c r="X20" s="3" t="s">
        <v>259</v>
      </c>
      <c r="Y20" s="3" t="s">
        <v>260</v>
      </c>
      <c r="Z20" s="3" t="s">
        <v>494</v>
      </c>
      <c r="AA20" s="3" t="s">
        <v>492</v>
      </c>
    </row>
    <row r="21" ht="42.0" customHeight="1">
      <c r="A21" s="3" t="s">
        <v>435</v>
      </c>
      <c r="B21" s="3" t="s">
        <v>836</v>
      </c>
      <c r="C21" s="3" t="s">
        <v>837</v>
      </c>
      <c r="D21" s="3" t="s">
        <v>838</v>
      </c>
      <c r="E21" s="3" t="s">
        <v>839</v>
      </c>
      <c r="F21" s="3" t="s">
        <v>840</v>
      </c>
      <c r="G21" s="3" t="s">
        <v>841</v>
      </c>
      <c r="H21" s="3" t="s">
        <v>842</v>
      </c>
      <c r="I21" s="3" t="s">
        <v>843</v>
      </c>
      <c r="J21" s="3" t="s">
        <v>844</v>
      </c>
      <c r="K21" s="3" t="s">
        <v>845</v>
      </c>
      <c r="L21" s="3" t="s">
        <v>846</v>
      </c>
      <c r="M21" s="3" t="s">
        <v>847</v>
      </c>
      <c r="N21" s="3" t="s">
        <v>590</v>
      </c>
      <c r="O21" s="3" t="s">
        <v>591</v>
      </c>
      <c r="P21" s="3" t="s">
        <v>848</v>
      </c>
      <c r="Q21" s="3" t="s">
        <v>849</v>
      </c>
      <c r="R21" s="3" t="s">
        <v>850</v>
      </c>
      <c r="S21" s="3" t="s">
        <v>680</v>
      </c>
      <c r="T21" s="3" t="s">
        <v>438</v>
      </c>
      <c r="U21" s="3">
        <v>319.0</v>
      </c>
      <c r="V21" s="36">
        <v>45607.0</v>
      </c>
      <c r="W21" s="3" t="s">
        <v>436</v>
      </c>
      <c r="X21" s="3" t="s">
        <v>204</v>
      </c>
      <c r="Y21" s="3" t="s">
        <v>205</v>
      </c>
      <c r="Z21" s="3" t="s">
        <v>439</v>
      </c>
      <c r="AA21" s="3" t="s">
        <v>437</v>
      </c>
    </row>
    <row r="22" ht="42.0" customHeight="1">
      <c r="A22" s="3" t="s">
        <v>530</v>
      </c>
      <c r="B22" s="3" t="s">
        <v>851</v>
      </c>
      <c r="C22" s="3" t="s">
        <v>852</v>
      </c>
      <c r="D22" s="3" t="s">
        <v>853</v>
      </c>
      <c r="E22" s="3" t="s">
        <v>854</v>
      </c>
      <c r="F22" s="3" t="s">
        <v>855</v>
      </c>
      <c r="G22" s="3" t="s">
        <v>856</v>
      </c>
      <c r="H22" s="3" t="s">
        <v>857</v>
      </c>
      <c r="I22" s="3" t="s">
        <v>858</v>
      </c>
      <c r="J22" s="3" t="s">
        <v>859</v>
      </c>
      <c r="K22" s="3" t="s">
        <v>860</v>
      </c>
      <c r="L22" s="3" t="s">
        <v>861</v>
      </c>
      <c r="M22" s="3" t="s">
        <v>862</v>
      </c>
      <c r="N22" s="3" t="s">
        <v>590</v>
      </c>
      <c r="O22" s="3" t="s">
        <v>591</v>
      </c>
      <c r="P22" s="3" t="s">
        <v>863</v>
      </c>
      <c r="Q22" s="3" t="s">
        <v>864</v>
      </c>
      <c r="R22" s="3" t="s">
        <v>851</v>
      </c>
      <c r="S22" s="3" t="s">
        <v>594</v>
      </c>
      <c r="T22" s="3" t="s">
        <v>533</v>
      </c>
      <c r="U22" s="3">
        <v>315.0</v>
      </c>
      <c r="V22" s="36">
        <v>45607.0</v>
      </c>
      <c r="W22" s="3" t="s">
        <v>531</v>
      </c>
      <c r="X22" s="3" t="s">
        <v>299</v>
      </c>
      <c r="Y22" s="3" t="s">
        <v>300</v>
      </c>
      <c r="Z22" s="3" t="s">
        <v>534</v>
      </c>
      <c r="AA22" s="3" t="s">
        <v>532</v>
      </c>
    </row>
    <row r="23" ht="42.0" customHeight="1">
      <c r="A23" s="3" t="s">
        <v>550</v>
      </c>
      <c r="B23" s="3" t="s">
        <v>865</v>
      </c>
      <c r="C23" s="3" t="s">
        <v>866</v>
      </c>
      <c r="D23" s="3" t="s">
        <v>867</v>
      </c>
      <c r="E23" s="3" t="s">
        <v>868</v>
      </c>
      <c r="F23" s="3" t="s">
        <v>869</v>
      </c>
      <c r="G23" s="3" t="s">
        <v>870</v>
      </c>
      <c r="H23" s="3" t="s">
        <v>871</v>
      </c>
      <c r="I23" s="3" t="s">
        <v>872</v>
      </c>
      <c r="J23" s="3" t="s">
        <v>873</v>
      </c>
      <c r="K23" s="3" t="s">
        <v>874</v>
      </c>
      <c r="L23" s="3" t="s">
        <v>875</v>
      </c>
      <c r="M23" s="3" t="s">
        <v>876</v>
      </c>
      <c r="N23" s="3" t="s">
        <v>590</v>
      </c>
      <c r="O23" s="3" t="s">
        <v>591</v>
      </c>
      <c r="P23" s="3" t="s">
        <v>877</v>
      </c>
      <c r="Q23" s="3" t="s">
        <v>878</v>
      </c>
      <c r="R23" s="3" t="s">
        <v>865</v>
      </c>
      <c r="S23" s="3" t="s">
        <v>594</v>
      </c>
      <c r="T23" s="3" t="s">
        <v>553</v>
      </c>
      <c r="U23" s="3">
        <v>328.0</v>
      </c>
      <c r="V23" s="36">
        <v>45601.0</v>
      </c>
      <c r="W23" s="3" t="s">
        <v>551</v>
      </c>
      <c r="X23" s="3" t="s">
        <v>319</v>
      </c>
      <c r="Y23" s="3" t="s">
        <v>320</v>
      </c>
      <c r="Z23" s="3" t="s">
        <v>554</v>
      </c>
      <c r="AA23" s="3" t="s">
        <v>552</v>
      </c>
    </row>
    <row r="24" ht="42.0" customHeight="1">
      <c r="A24" s="3" t="s">
        <v>510</v>
      </c>
      <c r="B24" s="3" t="s">
        <v>879</v>
      </c>
      <c r="C24" s="3" t="s">
        <v>880</v>
      </c>
      <c r="D24" s="3" t="s">
        <v>881</v>
      </c>
      <c r="E24" s="3" t="s">
        <v>882</v>
      </c>
      <c r="F24" s="3" t="s">
        <v>840</v>
      </c>
      <c r="G24" s="3" t="s">
        <v>841</v>
      </c>
      <c r="H24" s="3" t="s">
        <v>883</v>
      </c>
      <c r="I24" s="3" t="s">
        <v>884</v>
      </c>
      <c r="J24" s="3" t="s">
        <v>885</v>
      </c>
      <c r="K24" s="3" t="s">
        <v>886</v>
      </c>
      <c r="L24" s="3" t="s">
        <v>846</v>
      </c>
      <c r="M24" s="3" t="s">
        <v>887</v>
      </c>
      <c r="N24" s="3" t="s">
        <v>590</v>
      </c>
      <c r="O24" s="3" t="s">
        <v>591</v>
      </c>
      <c r="P24" s="3" t="s">
        <v>888</v>
      </c>
      <c r="Q24" s="3" t="s">
        <v>889</v>
      </c>
      <c r="R24" s="3" t="s">
        <v>879</v>
      </c>
      <c r="S24" s="3" t="s">
        <v>594</v>
      </c>
      <c r="T24" s="3" t="s">
        <v>513</v>
      </c>
      <c r="U24" s="3">
        <v>345.0</v>
      </c>
      <c r="V24" s="36">
        <v>45604.0</v>
      </c>
      <c r="W24" s="3" t="s">
        <v>511</v>
      </c>
      <c r="X24" s="3" t="s">
        <v>279</v>
      </c>
      <c r="Y24" s="3" t="s">
        <v>280</v>
      </c>
      <c r="Z24" s="3" t="s">
        <v>514</v>
      </c>
      <c r="AA24" s="3" t="s">
        <v>512</v>
      </c>
    </row>
    <row r="25" ht="42.0" customHeight="1">
      <c r="A25" s="3" t="s">
        <v>485</v>
      </c>
      <c r="B25" s="3" t="s">
        <v>890</v>
      </c>
      <c r="C25" s="3" t="s">
        <v>891</v>
      </c>
      <c r="D25" s="3" t="s">
        <v>892</v>
      </c>
      <c r="E25" s="3" t="s">
        <v>893</v>
      </c>
      <c r="F25" s="3" t="s">
        <v>894</v>
      </c>
      <c r="G25" s="3" t="s">
        <v>895</v>
      </c>
      <c r="H25" s="3" t="s">
        <v>896</v>
      </c>
      <c r="I25" s="3" t="s">
        <v>897</v>
      </c>
      <c r="J25" s="3" t="s">
        <v>898</v>
      </c>
      <c r="K25" s="3" t="s">
        <v>899</v>
      </c>
      <c r="L25" s="3" t="s">
        <v>900</v>
      </c>
      <c r="M25" s="3" t="s">
        <v>901</v>
      </c>
      <c r="N25" s="3" t="s">
        <v>590</v>
      </c>
      <c r="O25" s="3" t="s">
        <v>591</v>
      </c>
      <c r="P25" s="3" t="s">
        <v>902</v>
      </c>
      <c r="Q25" s="3" t="s">
        <v>903</v>
      </c>
      <c r="R25" s="3" t="s">
        <v>890</v>
      </c>
      <c r="S25" s="3" t="s">
        <v>594</v>
      </c>
      <c r="T25" s="3" t="s">
        <v>488</v>
      </c>
      <c r="U25" s="3">
        <v>296.0</v>
      </c>
      <c r="V25" s="36">
        <v>45602.0</v>
      </c>
      <c r="W25" s="3" t="s">
        <v>486</v>
      </c>
      <c r="X25" s="3" t="s">
        <v>254</v>
      </c>
      <c r="Y25" s="3" t="s">
        <v>255</v>
      </c>
      <c r="Z25" s="3" t="s">
        <v>489</v>
      </c>
      <c r="AA25" s="3" t="s">
        <v>487</v>
      </c>
    </row>
    <row r="26" ht="42.0" customHeight="1">
      <c r="A26" s="3" t="s">
        <v>425</v>
      </c>
      <c r="B26" s="3" t="s">
        <v>904</v>
      </c>
      <c r="C26" s="3" t="s">
        <v>905</v>
      </c>
      <c r="D26" s="3" t="s">
        <v>906</v>
      </c>
      <c r="E26" s="3" t="s">
        <v>907</v>
      </c>
      <c r="F26" s="3" t="s">
        <v>908</v>
      </c>
      <c r="G26" s="3" t="s">
        <v>909</v>
      </c>
      <c r="H26" s="3" t="s">
        <v>910</v>
      </c>
      <c r="I26" s="3" t="s">
        <v>911</v>
      </c>
      <c r="J26" s="3" t="s">
        <v>912</v>
      </c>
      <c r="K26" s="3" t="s">
        <v>913</v>
      </c>
      <c r="L26" s="3" t="s">
        <v>914</v>
      </c>
      <c r="M26" s="3" t="s">
        <v>915</v>
      </c>
      <c r="N26" s="3" t="s">
        <v>590</v>
      </c>
      <c r="O26" s="3" t="s">
        <v>591</v>
      </c>
      <c r="P26" s="3" t="s">
        <v>916</v>
      </c>
      <c r="Q26" s="3" t="s">
        <v>917</v>
      </c>
      <c r="R26" s="3" t="s">
        <v>904</v>
      </c>
      <c r="S26" s="3" t="s">
        <v>594</v>
      </c>
      <c r="T26" s="3" t="s">
        <v>428</v>
      </c>
      <c r="U26" s="3">
        <v>221.0</v>
      </c>
      <c r="V26" s="36">
        <v>45641.0</v>
      </c>
      <c r="W26" s="3" t="s">
        <v>426</v>
      </c>
      <c r="X26" s="3" t="s">
        <v>194</v>
      </c>
      <c r="Y26" s="3" t="s">
        <v>195</v>
      </c>
      <c r="Z26" s="3" t="s">
        <v>429</v>
      </c>
      <c r="AA26" s="3" t="s">
        <v>427</v>
      </c>
    </row>
    <row r="27" ht="42.0" customHeight="1">
      <c r="A27" s="3" t="s">
        <v>480</v>
      </c>
      <c r="B27" s="3" t="s">
        <v>918</v>
      </c>
      <c r="C27" s="3" t="s">
        <v>919</v>
      </c>
      <c r="D27" s="3" t="s">
        <v>920</v>
      </c>
      <c r="E27" s="3" t="s">
        <v>921</v>
      </c>
      <c r="F27" s="3" t="s">
        <v>908</v>
      </c>
      <c r="G27" s="3" t="s">
        <v>909</v>
      </c>
      <c r="H27" s="3" t="s">
        <v>922</v>
      </c>
      <c r="I27" s="3" t="s">
        <v>923</v>
      </c>
      <c r="J27" s="3" t="s">
        <v>924</v>
      </c>
      <c r="K27" s="3" t="s">
        <v>925</v>
      </c>
      <c r="L27" s="3" t="s">
        <v>914</v>
      </c>
      <c r="M27" s="3" t="s">
        <v>926</v>
      </c>
      <c r="N27" s="3" t="s">
        <v>590</v>
      </c>
      <c r="O27" s="3" t="s">
        <v>591</v>
      </c>
      <c r="P27" s="3" t="s">
        <v>927</v>
      </c>
      <c r="Q27" s="3" t="s">
        <v>928</v>
      </c>
      <c r="R27" s="3" t="s">
        <v>918</v>
      </c>
      <c r="S27" s="3" t="s">
        <v>594</v>
      </c>
      <c r="T27" s="3" t="s">
        <v>483</v>
      </c>
      <c r="U27" s="3">
        <v>338.0</v>
      </c>
      <c r="V27" s="36">
        <v>45602.0</v>
      </c>
      <c r="W27" s="3" t="s">
        <v>481</v>
      </c>
      <c r="X27" s="3" t="s">
        <v>249</v>
      </c>
      <c r="Y27" s="3" t="s">
        <v>250</v>
      </c>
      <c r="Z27" s="3" t="s">
        <v>484</v>
      </c>
      <c r="AA27" s="3" t="s">
        <v>482</v>
      </c>
    </row>
    <row r="28" ht="42.0" customHeight="1">
      <c r="A28" s="3" t="s">
        <v>410</v>
      </c>
      <c r="B28" s="3" t="s">
        <v>929</v>
      </c>
      <c r="C28" s="3" t="s">
        <v>930</v>
      </c>
      <c r="D28" s="3" t="s">
        <v>931</v>
      </c>
      <c r="E28" s="3" t="s">
        <v>932</v>
      </c>
      <c r="F28" s="3" t="s">
        <v>582</v>
      </c>
      <c r="G28" s="3" t="s">
        <v>627</v>
      </c>
      <c r="H28" s="3" t="s">
        <v>933</v>
      </c>
      <c r="I28" s="3" t="s">
        <v>934</v>
      </c>
      <c r="J28" s="3" t="s">
        <v>935</v>
      </c>
      <c r="K28" s="3" t="s">
        <v>936</v>
      </c>
      <c r="L28" s="3" t="s">
        <v>588</v>
      </c>
      <c r="M28" s="3" t="s">
        <v>937</v>
      </c>
      <c r="N28" s="3" t="s">
        <v>590</v>
      </c>
      <c r="O28" s="3" t="s">
        <v>591</v>
      </c>
      <c r="P28" s="3" t="s">
        <v>938</v>
      </c>
      <c r="Q28" s="3" t="s">
        <v>939</v>
      </c>
      <c r="R28" s="3" t="s">
        <v>929</v>
      </c>
      <c r="S28" s="3" t="s">
        <v>594</v>
      </c>
      <c r="T28" s="3" t="s">
        <v>413</v>
      </c>
      <c r="U28" s="3">
        <v>254.0</v>
      </c>
      <c r="V28" s="36">
        <v>45696.0</v>
      </c>
      <c r="W28" s="3" t="s">
        <v>411</v>
      </c>
      <c r="X28" s="3" t="s">
        <v>179</v>
      </c>
      <c r="Y28" s="3" t="s">
        <v>180</v>
      </c>
      <c r="Z28" s="3" t="s">
        <v>414</v>
      </c>
      <c r="AA28" s="3" t="s">
        <v>412</v>
      </c>
    </row>
    <row r="29" ht="42.0" customHeight="1">
      <c r="A29" s="3" t="s">
        <v>455</v>
      </c>
      <c r="B29" s="3" t="s">
        <v>940</v>
      </c>
      <c r="C29" s="3" t="s">
        <v>941</v>
      </c>
      <c r="D29" s="3" t="s">
        <v>942</v>
      </c>
      <c r="E29" s="3" t="s">
        <v>943</v>
      </c>
      <c r="F29" s="3" t="s">
        <v>944</v>
      </c>
      <c r="G29" s="3" t="s">
        <v>945</v>
      </c>
      <c r="H29" s="3" t="s">
        <v>946</v>
      </c>
      <c r="I29" s="3" t="s">
        <v>947</v>
      </c>
      <c r="J29" s="3" t="s">
        <v>948</v>
      </c>
      <c r="K29" s="3" t="s">
        <v>949</v>
      </c>
      <c r="L29" s="3" t="s">
        <v>950</v>
      </c>
      <c r="M29" s="3" t="s">
        <v>951</v>
      </c>
      <c r="N29" s="3" t="s">
        <v>590</v>
      </c>
      <c r="O29" s="3" t="s">
        <v>591</v>
      </c>
      <c r="P29" s="3" t="s">
        <v>952</v>
      </c>
      <c r="Q29" s="3" t="s">
        <v>953</v>
      </c>
      <c r="R29" s="3" t="s">
        <v>940</v>
      </c>
      <c r="S29" s="3" t="s">
        <v>594</v>
      </c>
      <c r="T29" s="3" t="s">
        <v>458</v>
      </c>
      <c r="U29" s="3">
        <v>229.0</v>
      </c>
      <c r="V29" s="36">
        <v>45638.0</v>
      </c>
      <c r="W29" s="3" t="s">
        <v>456</v>
      </c>
      <c r="X29" s="3" t="s">
        <v>224</v>
      </c>
      <c r="Y29" s="3" t="s">
        <v>225</v>
      </c>
      <c r="Z29" s="3" t="s">
        <v>459</v>
      </c>
      <c r="AA29" s="3" t="s">
        <v>457</v>
      </c>
    </row>
    <row r="30" ht="42.0" customHeight="1">
      <c r="A30" s="3" t="s">
        <v>505</v>
      </c>
      <c r="B30" s="3" t="s">
        <v>954</v>
      </c>
      <c r="C30" s="3" t="s">
        <v>955</v>
      </c>
      <c r="D30" s="3" t="s">
        <v>956</v>
      </c>
      <c r="E30" s="3" t="s">
        <v>957</v>
      </c>
      <c r="F30" s="3" t="s">
        <v>958</v>
      </c>
      <c r="G30" s="3" t="s">
        <v>959</v>
      </c>
      <c r="H30" s="3" t="s">
        <v>960</v>
      </c>
      <c r="I30" s="3" t="s">
        <v>961</v>
      </c>
      <c r="J30" s="3" t="s">
        <v>962</v>
      </c>
      <c r="K30" s="3" t="s">
        <v>963</v>
      </c>
      <c r="L30" s="3" t="s">
        <v>964</v>
      </c>
      <c r="M30" s="3" t="s">
        <v>965</v>
      </c>
      <c r="N30" s="3" t="s">
        <v>590</v>
      </c>
      <c r="O30" s="3" t="s">
        <v>591</v>
      </c>
      <c r="P30" s="3" t="s">
        <v>966</v>
      </c>
      <c r="Q30" s="3" t="s">
        <v>967</v>
      </c>
      <c r="R30" s="3" t="s">
        <v>968</v>
      </c>
      <c r="S30" s="3" t="s">
        <v>664</v>
      </c>
      <c r="T30" s="3" t="s">
        <v>508</v>
      </c>
      <c r="U30" s="3">
        <v>336.0</v>
      </c>
      <c r="V30" s="36">
        <v>45710.0</v>
      </c>
      <c r="W30" s="3" t="s">
        <v>506</v>
      </c>
      <c r="X30" s="3" t="s">
        <v>274</v>
      </c>
      <c r="Y30" s="3" t="s">
        <v>275</v>
      </c>
      <c r="Z30" s="3" t="s">
        <v>509</v>
      </c>
      <c r="AA30" s="3" t="s">
        <v>507</v>
      </c>
    </row>
    <row r="31" ht="42.0" customHeight="1">
      <c r="A31" s="3" t="s">
        <v>520</v>
      </c>
      <c r="B31" s="3" t="s">
        <v>969</v>
      </c>
      <c r="C31" s="3" t="s">
        <v>970</v>
      </c>
      <c r="D31" s="3" t="s">
        <v>971</v>
      </c>
      <c r="E31" s="3" t="s">
        <v>972</v>
      </c>
      <c r="F31" s="3" t="s">
        <v>958</v>
      </c>
      <c r="G31" s="3" t="s">
        <v>959</v>
      </c>
      <c r="H31" s="3" t="s">
        <v>973</v>
      </c>
      <c r="I31" s="3" t="s">
        <v>974</v>
      </c>
      <c r="J31" s="3" t="s">
        <v>975</v>
      </c>
      <c r="K31" s="3" t="s">
        <v>976</v>
      </c>
      <c r="L31" s="3" t="s">
        <v>964</v>
      </c>
      <c r="M31" s="3" t="s">
        <v>977</v>
      </c>
      <c r="N31" s="3" t="s">
        <v>590</v>
      </c>
      <c r="O31" s="3" t="s">
        <v>591</v>
      </c>
      <c r="P31" s="3" t="s">
        <v>978</v>
      </c>
      <c r="Q31" s="3" t="s">
        <v>979</v>
      </c>
      <c r="R31" s="3" t="s">
        <v>969</v>
      </c>
      <c r="S31" s="3" t="s">
        <v>594</v>
      </c>
      <c r="T31" s="3" t="s">
        <v>523</v>
      </c>
      <c r="U31" s="3">
        <v>295.0</v>
      </c>
      <c r="V31" s="36">
        <v>45710.0</v>
      </c>
      <c r="W31" s="3" t="s">
        <v>521</v>
      </c>
      <c r="X31" s="3" t="s">
        <v>289</v>
      </c>
      <c r="Y31" s="3" t="s">
        <v>290</v>
      </c>
      <c r="Z31" s="3" t="s">
        <v>524</v>
      </c>
      <c r="AA31" s="3" t="s">
        <v>522</v>
      </c>
    </row>
    <row r="32" ht="42.0" customHeight="1">
      <c r="A32" s="3" t="s">
        <v>525</v>
      </c>
      <c r="B32" s="3" t="s">
        <v>980</v>
      </c>
      <c r="C32" s="3" t="s">
        <v>981</v>
      </c>
      <c r="D32" s="3" t="s">
        <v>982</v>
      </c>
      <c r="E32" s="3" t="s">
        <v>983</v>
      </c>
      <c r="F32" s="3" t="s">
        <v>984</v>
      </c>
      <c r="G32" s="3" t="s">
        <v>985</v>
      </c>
      <c r="H32" s="3" t="s">
        <v>986</v>
      </c>
      <c r="I32" s="3" t="s">
        <v>987</v>
      </c>
      <c r="J32" s="3" t="s">
        <v>988</v>
      </c>
      <c r="K32" s="3" t="s">
        <v>989</v>
      </c>
      <c r="L32" s="3" t="s">
        <v>990</v>
      </c>
      <c r="M32" s="3" t="s">
        <v>991</v>
      </c>
      <c r="N32" s="3" t="s">
        <v>590</v>
      </c>
      <c r="O32" s="3" t="s">
        <v>591</v>
      </c>
      <c r="P32" s="3" t="s">
        <v>992</v>
      </c>
      <c r="Q32" s="3" t="s">
        <v>993</v>
      </c>
      <c r="R32" s="3" t="s">
        <v>980</v>
      </c>
      <c r="S32" s="3" t="s">
        <v>594</v>
      </c>
      <c r="T32" s="3" t="s">
        <v>528</v>
      </c>
      <c r="U32" s="3">
        <v>302.0</v>
      </c>
      <c r="V32" s="36">
        <v>45710.0</v>
      </c>
      <c r="W32" s="3" t="s">
        <v>526</v>
      </c>
      <c r="X32" s="3" t="s">
        <v>294</v>
      </c>
      <c r="Y32" s="3" t="s">
        <v>295</v>
      </c>
      <c r="Z32" s="3" t="s">
        <v>529</v>
      </c>
      <c r="AA32" s="3" t="s">
        <v>527</v>
      </c>
    </row>
    <row r="33" ht="42.0" customHeight="1">
      <c r="A33" s="3" t="s">
        <v>555</v>
      </c>
      <c r="B33" s="3" t="s">
        <v>994</v>
      </c>
      <c r="C33" s="3" t="s">
        <v>995</v>
      </c>
      <c r="D33" s="3" t="s">
        <v>996</v>
      </c>
      <c r="E33" s="3" t="s">
        <v>997</v>
      </c>
      <c r="F33" s="3" t="s">
        <v>773</v>
      </c>
      <c r="G33" s="3" t="s">
        <v>998</v>
      </c>
      <c r="H33" s="3" t="s">
        <v>999</v>
      </c>
      <c r="I33" s="3" t="s">
        <v>1000</v>
      </c>
      <c r="J33" s="3" t="s">
        <v>1001</v>
      </c>
      <c r="K33" s="3" t="s">
        <v>1002</v>
      </c>
      <c r="L33" s="3" t="s">
        <v>1003</v>
      </c>
      <c r="M33" s="3" t="s">
        <v>1004</v>
      </c>
      <c r="N33" s="3" t="s">
        <v>590</v>
      </c>
      <c r="O33" s="3" t="s">
        <v>591</v>
      </c>
      <c r="P33" s="3" t="s">
        <v>1005</v>
      </c>
      <c r="Q33" s="3" t="s">
        <v>1006</v>
      </c>
      <c r="R33" s="3" t="s">
        <v>994</v>
      </c>
      <c r="S33" s="3" t="s">
        <v>594</v>
      </c>
      <c r="T33" s="3" t="s">
        <v>558</v>
      </c>
      <c r="U33" s="3">
        <v>327.0</v>
      </c>
      <c r="V33" s="36">
        <v>45709.0</v>
      </c>
      <c r="W33" s="3" t="s">
        <v>556</v>
      </c>
      <c r="X33" s="3" t="s">
        <v>324</v>
      </c>
      <c r="Y33" s="3" t="s">
        <v>325</v>
      </c>
      <c r="Z33" s="3" t="s">
        <v>559</v>
      </c>
      <c r="AA33" s="3" t="s">
        <v>557</v>
      </c>
    </row>
    <row r="34" ht="42.0" customHeight="1">
      <c r="A34" s="3" t="s">
        <v>475</v>
      </c>
      <c r="B34" s="3" t="s">
        <v>1007</v>
      </c>
      <c r="C34" s="3" t="s">
        <v>1008</v>
      </c>
      <c r="D34" s="3" t="s">
        <v>1009</v>
      </c>
      <c r="E34" s="3" t="s">
        <v>1010</v>
      </c>
      <c r="F34" s="3" t="s">
        <v>1011</v>
      </c>
      <c r="G34" s="3" t="s">
        <v>1012</v>
      </c>
      <c r="H34" s="3" t="s">
        <v>1013</v>
      </c>
      <c r="I34" s="3" t="s">
        <v>1014</v>
      </c>
      <c r="J34" s="3" t="s">
        <v>1015</v>
      </c>
      <c r="K34" s="3" t="s">
        <v>1016</v>
      </c>
      <c r="L34" s="3" t="s">
        <v>1017</v>
      </c>
      <c r="M34" s="3" t="s">
        <v>1018</v>
      </c>
      <c r="N34" s="3" t="s">
        <v>590</v>
      </c>
      <c r="O34" s="3" t="s">
        <v>591</v>
      </c>
      <c r="P34" s="3" t="s">
        <v>1019</v>
      </c>
      <c r="Q34" s="3" t="s">
        <v>1020</v>
      </c>
      <c r="R34" s="3" t="s">
        <v>1007</v>
      </c>
      <c r="S34" s="3" t="s">
        <v>594</v>
      </c>
      <c r="T34" s="3" t="s">
        <v>478</v>
      </c>
      <c r="U34" s="3">
        <v>350.0</v>
      </c>
      <c r="V34" s="36">
        <v>45709.0</v>
      </c>
      <c r="W34" s="3" t="s">
        <v>476</v>
      </c>
      <c r="X34" s="3" t="s">
        <v>244</v>
      </c>
      <c r="Y34" s="3" t="s">
        <v>245</v>
      </c>
      <c r="Z34" s="3" t="s">
        <v>479</v>
      </c>
      <c r="AA34" s="3" t="s">
        <v>477</v>
      </c>
    </row>
    <row r="35" ht="42.0" customHeight="1">
      <c r="A35" s="3" t="s">
        <v>495</v>
      </c>
      <c r="B35" s="3" t="s">
        <v>1021</v>
      </c>
      <c r="C35" s="3" t="s">
        <v>1022</v>
      </c>
      <c r="D35" s="3" t="s">
        <v>1023</v>
      </c>
      <c r="E35" s="3" t="s">
        <v>1024</v>
      </c>
      <c r="F35" s="3" t="s">
        <v>1025</v>
      </c>
      <c r="G35" s="3" t="s">
        <v>1026</v>
      </c>
      <c r="H35" s="3" t="s">
        <v>1027</v>
      </c>
      <c r="I35" s="3" t="s">
        <v>1028</v>
      </c>
      <c r="J35" s="3" t="s">
        <v>1029</v>
      </c>
      <c r="K35" s="3" t="s">
        <v>1030</v>
      </c>
      <c r="L35" s="3" t="s">
        <v>1031</v>
      </c>
      <c r="M35" s="3" t="s">
        <v>1032</v>
      </c>
      <c r="N35" s="3" t="s">
        <v>590</v>
      </c>
      <c r="O35" s="3" t="s">
        <v>591</v>
      </c>
      <c r="P35" s="3" t="s">
        <v>1033</v>
      </c>
      <c r="Q35" s="3" t="s">
        <v>1034</v>
      </c>
      <c r="R35" s="3" t="s">
        <v>1021</v>
      </c>
      <c r="S35" s="3" t="s">
        <v>594</v>
      </c>
      <c r="T35" s="3" t="s">
        <v>498</v>
      </c>
      <c r="U35" s="3">
        <v>334.0</v>
      </c>
      <c r="V35" s="36">
        <v>45709.0</v>
      </c>
      <c r="W35" s="3" t="s">
        <v>496</v>
      </c>
      <c r="X35" s="3" t="s">
        <v>264</v>
      </c>
      <c r="Y35" s="3" t="s">
        <v>265</v>
      </c>
      <c r="Z35" s="3" t="s">
        <v>499</v>
      </c>
      <c r="AA35" s="3" t="s">
        <v>497</v>
      </c>
    </row>
    <row r="36" ht="42.0" customHeight="1">
      <c r="A36" s="3" t="s">
        <v>515</v>
      </c>
      <c r="B36" s="3" t="s">
        <v>1035</v>
      </c>
      <c r="C36" s="3" t="s">
        <v>1036</v>
      </c>
      <c r="D36" s="3" t="s">
        <v>1037</v>
      </c>
      <c r="E36" s="3" t="s">
        <v>1038</v>
      </c>
      <c r="F36" s="3" t="s">
        <v>1025</v>
      </c>
      <c r="G36" s="3" t="s">
        <v>1026</v>
      </c>
      <c r="H36" s="3" t="s">
        <v>1039</v>
      </c>
      <c r="I36" s="3" t="s">
        <v>1040</v>
      </c>
      <c r="J36" s="3" t="s">
        <v>1041</v>
      </c>
      <c r="K36" s="3" t="s">
        <v>1042</v>
      </c>
      <c r="L36" s="3" t="s">
        <v>1031</v>
      </c>
      <c r="M36" s="3" t="s">
        <v>1043</v>
      </c>
      <c r="N36" s="3" t="s">
        <v>590</v>
      </c>
      <c r="O36" s="3" t="s">
        <v>591</v>
      </c>
      <c r="P36" s="3" t="s">
        <v>1044</v>
      </c>
      <c r="Q36" s="3" t="s">
        <v>1045</v>
      </c>
      <c r="R36" s="3" t="s">
        <v>1035</v>
      </c>
      <c r="S36" s="3" t="s">
        <v>594</v>
      </c>
      <c r="T36" s="3" t="s">
        <v>518</v>
      </c>
      <c r="U36" s="3">
        <v>334.0</v>
      </c>
      <c r="V36" s="36">
        <v>45708.0</v>
      </c>
      <c r="W36" s="3" t="s">
        <v>516</v>
      </c>
      <c r="X36" s="3" t="s">
        <v>284</v>
      </c>
      <c r="Y36" s="3" t="s">
        <v>285</v>
      </c>
      <c r="Z36" s="3" t="s">
        <v>519</v>
      </c>
      <c r="AA36" s="3" t="s">
        <v>517</v>
      </c>
    </row>
    <row r="37" ht="42.0" customHeight="1">
      <c r="A37" s="3" t="s">
        <v>500</v>
      </c>
      <c r="B37" s="3" t="s">
        <v>1046</v>
      </c>
      <c r="C37" s="3" t="s">
        <v>1047</v>
      </c>
      <c r="D37" s="3" t="s">
        <v>1048</v>
      </c>
      <c r="E37" s="3" t="s">
        <v>1049</v>
      </c>
      <c r="F37" s="3" t="s">
        <v>1050</v>
      </c>
      <c r="G37" s="3" t="s">
        <v>1051</v>
      </c>
      <c r="H37" s="3" t="s">
        <v>1052</v>
      </c>
      <c r="I37" s="3" t="s">
        <v>1053</v>
      </c>
      <c r="J37" s="3" t="s">
        <v>1054</v>
      </c>
      <c r="K37" s="3" t="s">
        <v>1055</v>
      </c>
      <c r="L37" s="3" t="s">
        <v>1056</v>
      </c>
      <c r="M37" s="3" t="s">
        <v>1057</v>
      </c>
      <c r="N37" s="3" t="s">
        <v>590</v>
      </c>
      <c r="O37" s="3" t="s">
        <v>591</v>
      </c>
      <c r="P37" s="3" t="s">
        <v>1058</v>
      </c>
      <c r="Q37" s="3" t="s">
        <v>1059</v>
      </c>
      <c r="R37" s="3" t="s">
        <v>1046</v>
      </c>
      <c r="S37" s="3" t="s">
        <v>594</v>
      </c>
      <c r="T37" s="3" t="s">
        <v>503</v>
      </c>
      <c r="U37" s="3">
        <v>344.0</v>
      </c>
      <c r="V37" s="36">
        <v>45708.0</v>
      </c>
      <c r="W37" s="3" t="s">
        <v>501</v>
      </c>
      <c r="X37" s="3" t="s">
        <v>269</v>
      </c>
      <c r="Y37" s="3" t="s">
        <v>270</v>
      </c>
      <c r="Z37" s="3" t="s">
        <v>504</v>
      </c>
      <c r="AA37" s="3" t="s">
        <v>502</v>
      </c>
    </row>
    <row r="38"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c r="AA38" s="2"/>
    </row>
    <row r="39" ht="15.75" customHeight="1">
      <c r="A39" s="2"/>
      <c r="B39" s="2"/>
      <c r="C39" s="2"/>
      <c r="D39" s="2"/>
      <c r="E39" s="2"/>
      <c r="F39" s="2"/>
      <c r="G39" s="2"/>
      <c r="H39" s="2"/>
      <c r="I39" s="2"/>
      <c r="J39" s="2"/>
      <c r="K39" s="2"/>
      <c r="L39" s="2"/>
      <c r="M39" s="2"/>
      <c r="N39" s="2"/>
      <c r="O39" s="2"/>
      <c r="P39" s="2"/>
      <c r="Q39" s="2"/>
      <c r="R39" s="2"/>
      <c r="S39" s="2"/>
      <c r="T39" s="2"/>
      <c r="U39" s="2"/>
      <c r="V39" s="2"/>
      <c r="W39" s="2"/>
      <c r="X39" s="2"/>
      <c r="Y39" s="2"/>
      <c r="Z39" s="2"/>
      <c r="AA39" s="2"/>
    </row>
    <row r="40" ht="15.75" customHeight="1">
      <c r="A40" s="2"/>
      <c r="B40" s="2"/>
      <c r="C40" s="2"/>
      <c r="D40" s="2"/>
      <c r="E40" s="2"/>
      <c r="F40" s="2"/>
      <c r="G40" s="2"/>
      <c r="H40" s="2"/>
      <c r="I40" s="2"/>
      <c r="J40" s="2"/>
      <c r="K40" s="2"/>
      <c r="L40" s="2"/>
      <c r="M40" s="2"/>
      <c r="N40" s="2"/>
      <c r="O40" s="2"/>
      <c r="P40" s="2"/>
      <c r="Q40" s="2"/>
      <c r="R40" s="2"/>
      <c r="S40" s="2"/>
      <c r="T40" s="2"/>
      <c r="U40" s="2"/>
      <c r="V40" s="2"/>
      <c r="W40" s="2"/>
      <c r="X40" s="2"/>
      <c r="Y40" s="2"/>
      <c r="Z40" s="2"/>
      <c r="AA40" s="2"/>
    </row>
    <row r="41" ht="15.75" customHeight="1">
      <c r="A41" s="2"/>
      <c r="B41" s="2"/>
      <c r="C41" s="2"/>
      <c r="D41" s="2"/>
      <c r="E41" s="2"/>
      <c r="F41" s="2"/>
      <c r="G41" s="2"/>
      <c r="H41" s="2"/>
      <c r="I41" s="2"/>
      <c r="J41" s="2"/>
      <c r="K41" s="2"/>
      <c r="L41" s="2"/>
      <c r="M41" s="2"/>
      <c r="N41" s="2"/>
      <c r="O41" s="2"/>
      <c r="P41" s="2"/>
      <c r="Q41" s="2"/>
      <c r="R41" s="2"/>
      <c r="S41" s="2"/>
      <c r="T41" s="2"/>
      <c r="U41" s="2"/>
      <c r="V41" s="2"/>
      <c r="W41" s="2"/>
      <c r="X41" s="2"/>
      <c r="Y41" s="2"/>
      <c r="Z41" s="2"/>
      <c r="AA41" s="2"/>
    </row>
    <row r="42" ht="15.75" customHeight="1">
      <c r="A42" s="2"/>
      <c r="B42" s="2"/>
      <c r="C42" s="2"/>
      <c r="D42" s="2"/>
      <c r="E42" s="2"/>
      <c r="F42" s="2"/>
      <c r="G42" s="2"/>
      <c r="H42" s="2"/>
      <c r="I42" s="2"/>
      <c r="J42" s="2"/>
      <c r="K42" s="2"/>
      <c r="L42" s="2"/>
      <c r="M42" s="2"/>
      <c r="N42" s="2"/>
      <c r="O42" s="2"/>
      <c r="P42" s="2"/>
      <c r="Q42" s="2"/>
      <c r="R42" s="2"/>
      <c r="S42" s="2"/>
      <c r="T42" s="2"/>
      <c r="U42" s="2"/>
      <c r="V42" s="2"/>
      <c r="W42" s="2"/>
      <c r="X42" s="2"/>
      <c r="Y42" s="2"/>
      <c r="Z42" s="2"/>
      <c r="AA42" s="2"/>
    </row>
    <row r="43" ht="15.75" customHeight="1">
      <c r="A43" s="2"/>
      <c r="B43" s="2"/>
      <c r="C43" s="2"/>
      <c r="D43" s="2"/>
      <c r="E43" s="2"/>
      <c r="F43" s="2"/>
      <c r="G43" s="2"/>
      <c r="H43" s="2"/>
      <c r="I43" s="2"/>
      <c r="J43" s="2"/>
      <c r="K43" s="2"/>
      <c r="L43" s="2"/>
      <c r="M43" s="2"/>
      <c r="N43" s="2"/>
      <c r="O43" s="2"/>
      <c r="P43" s="2"/>
      <c r="Q43" s="2"/>
      <c r="R43" s="2"/>
      <c r="S43" s="2"/>
      <c r="T43" s="2"/>
      <c r="U43" s="2"/>
      <c r="V43" s="2"/>
      <c r="W43" s="2"/>
      <c r="X43" s="2"/>
      <c r="Y43" s="2"/>
      <c r="Z43" s="2"/>
      <c r="AA43" s="2"/>
    </row>
    <row r="44" ht="15.75" customHeight="1">
      <c r="A44" s="2"/>
      <c r="B44" s="2"/>
      <c r="C44" s="2"/>
      <c r="D44" s="2"/>
      <c r="E44" s="2"/>
      <c r="F44" s="2"/>
      <c r="G44" s="2"/>
      <c r="H44" s="2"/>
      <c r="I44" s="2"/>
      <c r="J44" s="2"/>
      <c r="K44" s="2"/>
      <c r="L44" s="2"/>
      <c r="M44" s="2"/>
      <c r="N44" s="2"/>
      <c r="O44" s="2"/>
      <c r="P44" s="2"/>
      <c r="Q44" s="2"/>
      <c r="R44" s="2"/>
      <c r="S44" s="2"/>
      <c r="T44" s="2"/>
      <c r="U44" s="2"/>
      <c r="V44" s="2"/>
      <c r="W44" s="2"/>
      <c r="X44" s="2"/>
      <c r="Y44" s="2"/>
      <c r="Z44" s="2"/>
      <c r="AA44" s="2"/>
    </row>
    <row r="45" ht="15.75" customHeight="1">
      <c r="A45" s="2"/>
      <c r="B45" s="2"/>
      <c r="C45" s="2"/>
      <c r="D45" s="2"/>
      <c r="E45" s="2"/>
      <c r="F45" s="2"/>
      <c r="G45" s="2"/>
      <c r="H45" s="2"/>
      <c r="I45" s="2"/>
      <c r="J45" s="2"/>
      <c r="K45" s="2"/>
      <c r="L45" s="2"/>
      <c r="M45" s="2"/>
      <c r="N45" s="2"/>
      <c r="O45" s="2"/>
      <c r="P45" s="2"/>
      <c r="Q45" s="2"/>
      <c r="R45" s="2"/>
      <c r="S45" s="2"/>
      <c r="T45" s="2"/>
      <c r="U45" s="2"/>
      <c r="V45" s="2"/>
      <c r="W45" s="2"/>
      <c r="X45" s="2"/>
      <c r="Y45" s="2"/>
      <c r="Z45" s="2"/>
      <c r="AA45" s="2"/>
    </row>
    <row r="46" ht="15.75" customHeight="1">
      <c r="A46" s="2"/>
      <c r="B46" s="2"/>
      <c r="C46" s="2"/>
      <c r="D46" s="2"/>
      <c r="E46" s="2"/>
      <c r="F46" s="2"/>
      <c r="G46" s="2"/>
      <c r="H46" s="2"/>
      <c r="I46" s="2"/>
      <c r="J46" s="2"/>
      <c r="K46" s="2"/>
      <c r="L46" s="2"/>
      <c r="M46" s="2"/>
      <c r="N46" s="2"/>
      <c r="O46" s="2"/>
      <c r="P46" s="2"/>
      <c r="Q46" s="2"/>
      <c r="R46" s="2"/>
      <c r="S46" s="2"/>
      <c r="T46" s="2"/>
      <c r="U46" s="2"/>
      <c r="V46" s="2"/>
      <c r="W46" s="2"/>
      <c r="X46" s="2"/>
      <c r="Y46" s="2"/>
      <c r="Z46" s="2"/>
      <c r="AA46" s="2"/>
    </row>
    <row r="47" ht="15.75" customHeight="1">
      <c r="A47" s="2"/>
      <c r="B47" s="2"/>
      <c r="C47" s="2"/>
      <c r="D47" s="2"/>
      <c r="E47" s="2"/>
      <c r="F47" s="2"/>
      <c r="G47" s="2"/>
      <c r="H47" s="2"/>
      <c r="I47" s="2"/>
      <c r="J47" s="2"/>
      <c r="K47" s="2"/>
      <c r="L47" s="2"/>
      <c r="M47" s="2"/>
      <c r="N47" s="2"/>
      <c r="O47" s="2"/>
      <c r="P47" s="2"/>
      <c r="Q47" s="2"/>
      <c r="R47" s="2"/>
      <c r="S47" s="2"/>
      <c r="T47" s="2"/>
      <c r="U47" s="2"/>
      <c r="V47" s="2"/>
      <c r="W47" s="2"/>
      <c r="X47" s="2"/>
      <c r="Y47" s="2"/>
      <c r="Z47" s="2"/>
      <c r="AA47" s="2"/>
    </row>
    <row r="48" ht="15.75" customHeight="1">
      <c r="A48" s="2"/>
      <c r="B48" s="2"/>
      <c r="C48" s="2"/>
      <c r="D48" s="2"/>
      <c r="E48" s="2"/>
      <c r="F48" s="2"/>
      <c r="G48" s="2"/>
      <c r="H48" s="2"/>
      <c r="I48" s="2"/>
      <c r="J48" s="2"/>
      <c r="K48" s="2"/>
      <c r="L48" s="2"/>
      <c r="M48" s="2"/>
      <c r="N48" s="2"/>
      <c r="O48" s="2"/>
      <c r="P48" s="2"/>
      <c r="Q48" s="2"/>
      <c r="R48" s="2"/>
      <c r="S48" s="2"/>
      <c r="T48" s="2"/>
      <c r="U48" s="2"/>
      <c r="V48" s="2"/>
      <c r="W48" s="2"/>
      <c r="X48" s="2"/>
      <c r="Y48" s="2"/>
      <c r="Z48" s="2"/>
      <c r="AA48" s="2"/>
    </row>
    <row r="49" ht="15.75" customHeight="1">
      <c r="A49" s="2"/>
      <c r="B49" s="2"/>
      <c r="C49" s="2"/>
      <c r="D49" s="2"/>
      <c r="E49" s="2"/>
      <c r="F49" s="2"/>
      <c r="G49" s="2"/>
      <c r="H49" s="2"/>
      <c r="I49" s="2"/>
      <c r="J49" s="2"/>
      <c r="K49" s="2"/>
      <c r="L49" s="2"/>
      <c r="M49" s="2"/>
      <c r="N49" s="2"/>
      <c r="O49" s="2"/>
      <c r="P49" s="2"/>
      <c r="Q49" s="2"/>
      <c r="R49" s="2"/>
      <c r="S49" s="2"/>
      <c r="T49" s="2"/>
      <c r="U49" s="2"/>
      <c r="V49" s="2"/>
      <c r="W49" s="2"/>
      <c r="X49" s="2"/>
      <c r="Y49" s="2"/>
      <c r="Z49" s="2"/>
      <c r="AA49" s="2"/>
    </row>
    <row r="50" ht="15.75" customHeight="1">
      <c r="A50" s="2"/>
      <c r="B50" s="2"/>
      <c r="C50" s="2"/>
      <c r="D50" s="2"/>
      <c r="E50" s="2"/>
      <c r="F50" s="2"/>
      <c r="G50" s="2"/>
      <c r="H50" s="2"/>
      <c r="I50" s="2"/>
      <c r="J50" s="2"/>
      <c r="K50" s="2"/>
      <c r="L50" s="2"/>
      <c r="M50" s="2"/>
      <c r="N50" s="2"/>
      <c r="O50" s="2"/>
      <c r="P50" s="2"/>
      <c r="Q50" s="2"/>
      <c r="R50" s="2"/>
      <c r="S50" s="2"/>
      <c r="T50" s="2"/>
      <c r="U50" s="2"/>
      <c r="V50" s="2"/>
      <c r="W50" s="2"/>
      <c r="X50" s="2"/>
      <c r="Y50" s="2"/>
      <c r="Z50" s="2"/>
      <c r="AA50" s="2"/>
    </row>
    <row r="51" ht="15.7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row>
    <row r="52" ht="15.7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row>
    <row r="53" ht="15.7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row>
    <row r="54" ht="15.7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row>
    <row r="55" ht="15.7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row>
    <row r="56" ht="15.75" customHeight="1">
      <c r="A56" s="2"/>
      <c r="B56" s="2"/>
      <c r="C56" s="2"/>
      <c r="D56" s="2"/>
      <c r="E56" s="2"/>
      <c r="F56" s="2"/>
      <c r="G56" s="2"/>
      <c r="H56" s="2"/>
      <c r="I56" s="2"/>
      <c r="J56" s="2"/>
      <c r="K56" s="2"/>
      <c r="L56" s="2"/>
      <c r="M56" s="2"/>
      <c r="N56" s="2"/>
      <c r="O56" s="2"/>
      <c r="P56" s="2"/>
      <c r="Q56" s="2"/>
      <c r="R56" s="2"/>
      <c r="S56" s="2"/>
      <c r="T56" s="2"/>
      <c r="U56" s="2"/>
      <c r="V56" s="2"/>
      <c r="W56" s="2"/>
      <c r="X56" s="2"/>
      <c r="Y56" s="2"/>
      <c r="Z56" s="2"/>
      <c r="AA56" s="2"/>
    </row>
    <row r="57" ht="15.75" customHeight="1">
      <c r="A57" s="2"/>
      <c r="B57" s="2"/>
      <c r="C57" s="2"/>
      <c r="D57" s="2"/>
      <c r="E57" s="2"/>
      <c r="F57" s="2"/>
      <c r="G57" s="2"/>
      <c r="H57" s="2"/>
      <c r="I57" s="2"/>
      <c r="J57" s="2"/>
      <c r="K57" s="2"/>
      <c r="L57" s="2"/>
      <c r="M57" s="2"/>
      <c r="N57" s="2"/>
      <c r="O57" s="2"/>
      <c r="P57" s="2"/>
      <c r="Q57" s="2"/>
      <c r="R57" s="2"/>
      <c r="S57" s="2"/>
      <c r="T57" s="2"/>
      <c r="U57" s="2"/>
      <c r="V57" s="2"/>
      <c r="W57" s="2"/>
      <c r="X57" s="2"/>
      <c r="Y57" s="2"/>
      <c r="Z57" s="2"/>
      <c r="AA57" s="2"/>
    </row>
    <row r="58" ht="15.75" customHeight="1">
      <c r="A58" s="2"/>
      <c r="B58" s="2"/>
      <c r="C58" s="2"/>
      <c r="D58" s="2"/>
      <c r="E58" s="2"/>
      <c r="F58" s="2"/>
      <c r="G58" s="2"/>
      <c r="H58" s="2"/>
      <c r="I58" s="2"/>
      <c r="J58" s="2"/>
      <c r="K58" s="2"/>
      <c r="L58" s="2"/>
      <c r="M58" s="2"/>
      <c r="N58" s="2"/>
      <c r="O58" s="2"/>
      <c r="P58" s="2"/>
      <c r="Q58" s="2"/>
      <c r="R58" s="2"/>
      <c r="S58" s="2"/>
      <c r="T58" s="2"/>
      <c r="U58" s="2"/>
      <c r="V58" s="2"/>
      <c r="W58" s="2"/>
      <c r="X58" s="2"/>
      <c r="Y58" s="2"/>
      <c r="Z58" s="2"/>
      <c r="AA58" s="2"/>
    </row>
    <row r="59" ht="15.75" customHeight="1">
      <c r="A59" s="2"/>
      <c r="B59" s="2"/>
      <c r="C59" s="2"/>
      <c r="D59" s="2"/>
      <c r="E59" s="2"/>
      <c r="F59" s="2"/>
      <c r="G59" s="2"/>
      <c r="H59" s="2"/>
      <c r="I59" s="2"/>
      <c r="J59" s="2"/>
      <c r="K59" s="2"/>
      <c r="L59" s="2"/>
      <c r="M59" s="2"/>
      <c r="N59" s="2"/>
      <c r="O59" s="2"/>
      <c r="P59" s="2"/>
      <c r="Q59" s="2"/>
      <c r="R59" s="2"/>
      <c r="S59" s="2"/>
      <c r="T59" s="2"/>
      <c r="U59" s="2"/>
      <c r="V59" s="2"/>
      <c r="W59" s="2"/>
      <c r="X59" s="2"/>
      <c r="Y59" s="2"/>
      <c r="Z59" s="2"/>
      <c r="AA59" s="2"/>
    </row>
    <row r="60" ht="15.75" customHeight="1">
      <c r="A60" s="2"/>
      <c r="B60" s="2"/>
      <c r="C60" s="2"/>
      <c r="D60" s="2"/>
      <c r="E60" s="2"/>
      <c r="F60" s="2"/>
      <c r="G60" s="2"/>
      <c r="H60" s="2"/>
      <c r="I60" s="2"/>
      <c r="J60" s="2"/>
      <c r="K60" s="2"/>
      <c r="L60" s="2"/>
      <c r="M60" s="2"/>
      <c r="N60" s="2"/>
      <c r="O60" s="2"/>
      <c r="P60" s="2"/>
      <c r="Q60" s="2"/>
      <c r="R60" s="2"/>
      <c r="S60" s="2"/>
      <c r="T60" s="2"/>
      <c r="U60" s="2"/>
      <c r="V60" s="2"/>
      <c r="W60" s="2"/>
      <c r="X60" s="2"/>
      <c r="Y60" s="2"/>
      <c r="Z60" s="2"/>
      <c r="AA60" s="2"/>
    </row>
    <row r="61" ht="15.75" customHeight="1">
      <c r="A61" s="2"/>
      <c r="B61" s="2"/>
      <c r="C61" s="2"/>
      <c r="D61" s="2"/>
      <c r="E61" s="2"/>
      <c r="F61" s="2"/>
      <c r="G61" s="2"/>
      <c r="H61" s="2"/>
      <c r="I61" s="2"/>
      <c r="J61" s="2"/>
      <c r="K61" s="2"/>
      <c r="L61" s="2"/>
      <c r="M61" s="2"/>
      <c r="N61" s="2"/>
      <c r="O61" s="2"/>
      <c r="P61" s="2"/>
      <c r="Q61" s="2"/>
      <c r="R61" s="2"/>
      <c r="S61" s="2"/>
      <c r="T61" s="2"/>
      <c r="U61" s="2"/>
      <c r="V61" s="2"/>
      <c r="W61" s="2"/>
      <c r="X61" s="2"/>
      <c r="Y61" s="2"/>
      <c r="Z61" s="2"/>
      <c r="AA61" s="2"/>
    </row>
    <row r="62" ht="15.75" customHeight="1">
      <c r="A62" s="2"/>
      <c r="B62" s="2"/>
      <c r="C62" s="2"/>
      <c r="D62" s="2"/>
      <c r="E62" s="2"/>
      <c r="F62" s="2"/>
      <c r="G62" s="2"/>
      <c r="H62" s="2"/>
      <c r="I62" s="2"/>
      <c r="J62" s="2"/>
      <c r="K62" s="2"/>
      <c r="L62" s="2"/>
      <c r="M62" s="2"/>
      <c r="N62" s="2"/>
      <c r="O62" s="2"/>
      <c r="P62" s="2"/>
      <c r="Q62" s="2"/>
      <c r="R62" s="2"/>
      <c r="S62" s="2"/>
      <c r="T62" s="2"/>
      <c r="U62" s="2"/>
      <c r="V62" s="2"/>
      <c r="W62" s="2"/>
      <c r="X62" s="2"/>
      <c r="Y62" s="2"/>
      <c r="Z62" s="2"/>
      <c r="AA62" s="2"/>
    </row>
    <row r="63" ht="15.75" customHeight="1">
      <c r="A63" s="2"/>
      <c r="B63" s="2"/>
      <c r="C63" s="2"/>
      <c r="D63" s="2"/>
      <c r="E63" s="2"/>
      <c r="F63" s="2"/>
      <c r="G63" s="2"/>
      <c r="H63" s="2"/>
      <c r="I63" s="2"/>
      <c r="J63" s="2"/>
      <c r="K63" s="2"/>
      <c r="L63" s="2"/>
      <c r="M63" s="2"/>
      <c r="N63" s="2"/>
      <c r="O63" s="2"/>
      <c r="P63" s="2"/>
      <c r="Q63" s="2"/>
      <c r="R63" s="2"/>
      <c r="S63" s="2"/>
      <c r="T63" s="2"/>
      <c r="U63" s="2"/>
      <c r="V63" s="2"/>
      <c r="W63" s="2"/>
      <c r="X63" s="2"/>
      <c r="Y63" s="2"/>
      <c r="Z63" s="2"/>
      <c r="AA63" s="2"/>
    </row>
    <row r="64" ht="15.75" customHeight="1">
      <c r="A64" s="2"/>
      <c r="B64" s="2"/>
      <c r="C64" s="2"/>
      <c r="D64" s="2"/>
      <c r="E64" s="2"/>
      <c r="F64" s="2"/>
      <c r="G64" s="2"/>
      <c r="H64" s="2"/>
      <c r="I64" s="2"/>
      <c r="J64" s="2"/>
      <c r="K64" s="2"/>
      <c r="L64" s="2"/>
      <c r="M64" s="2"/>
      <c r="N64" s="2"/>
      <c r="O64" s="2"/>
      <c r="P64" s="2"/>
      <c r="Q64" s="2"/>
      <c r="R64" s="2"/>
      <c r="S64" s="2"/>
      <c r="T64" s="2"/>
      <c r="U64" s="2"/>
      <c r="V64" s="2"/>
      <c r="W64" s="2"/>
      <c r="X64" s="2"/>
      <c r="Y64" s="2"/>
      <c r="Z64" s="2"/>
      <c r="AA64" s="2"/>
    </row>
    <row r="65" ht="15.75" customHeight="1">
      <c r="A65" s="2"/>
      <c r="B65" s="2"/>
      <c r="C65" s="2"/>
      <c r="D65" s="2"/>
      <c r="E65" s="2"/>
      <c r="F65" s="2"/>
      <c r="G65" s="2"/>
      <c r="H65" s="2"/>
      <c r="I65" s="2"/>
      <c r="J65" s="2"/>
      <c r="K65" s="2"/>
      <c r="L65" s="2"/>
      <c r="M65" s="2"/>
      <c r="N65" s="2"/>
      <c r="O65" s="2"/>
      <c r="P65" s="2"/>
      <c r="Q65" s="2"/>
      <c r="R65" s="2"/>
      <c r="S65" s="2"/>
      <c r="T65" s="2"/>
      <c r="U65" s="2"/>
      <c r="V65" s="2"/>
      <c r="W65" s="2"/>
      <c r="X65" s="2"/>
      <c r="Y65" s="2"/>
      <c r="Z65" s="2"/>
      <c r="AA65" s="2"/>
    </row>
    <row r="66" ht="15.75" customHeight="1">
      <c r="A66" s="2"/>
      <c r="B66" s="2"/>
      <c r="C66" s="2"/>
      <c r="D66" s="2"/>
      <c r="E66" s="2"/>
      <c r="F66" s="2"/>
      <c r="G66" s="2"/>
      <c r="H66" s="2"/>
      <c r="I66" s="2"/>
      <c r="J66" s="2"/>
      <c r="K66" s="2"/>
      <c r="L66" s="2"/>
      <c r="M66" s="2"/>
      <c r="N66" s="2"/>
      <c r="O66" s="2"/>
      <c r="P66" s="2"/>
      <c r="Q66" s="2"/>
      <c r="R66" s="2"/>
      <c r="S66" s="2"/>
      <c r="T66" s="2"/>
      <c r="U66" s="2"/>
      <c r="V66" s="2"/>
      <c r="W66" s="2"/>
      <c r="X66" s="2"/>
      <c r="Y66" s="2"/>
      <c r="Z66" s="2"/>
      <c r="AA66" s="2"/>
    </row>
    <row r="67" ht="15.75" customHeight="1">
      <c r="A67" s="2"/>
      <c r="B67" s="2"/>
      <c r="C67" s="2"/>
      <c r="D67" s="2"/>
      <c r="E67" s="2"/>
      <c r="F67" s="2"/>
      <c r="G67" s="2"/>
      <c r="H67" s="2"/>
      <c r="I67" s="2"/>
      <c r="J67" s="2"/>
      <c r="K67" s="2"/>
      <c r="L67" s="2"/>
      <c r="M67" s="2"/>
      <c r="N67" s="2"/>
      <c r="O67" s="2"/>
      <c r="P67" s="2"/>
      <c r="Q67" s="2"/>
      <c r="R67" s="2"/>
      <c r="S67" s="2"/>
      <c r="T67" s="2"/>
      <c r="U67" s="2"/>
      <c r="V67" s="2"/>
      <c r="W67" s="2"/>
      <c r="X67" s="2"/>
      <c r="Y67" s="2"/>
      <c r="Z67" s="2"/>
      <c r="AA67" s="2"/>
    </row>
    <row r="68" ht="15.75" customHeight="1">
      <c r="A68" s="2"/>
      <c r="B68" s="2"/>
      <c r="C68" s="2"/>
      <c r="D68" s="2"/>
      <c r="E68" s="2"/>
      <c r="F68" s="2"/>
      <c r="G68" s="2"/>
      <c r="H68" s="2"/>
      <c r="I68" s="2"/>
      <c r="J68" s="2"/>
      <c r="K68" s="2"/>
      <c r="L68" s="2"/>
      <c r="M68" s="2"/>
      <c r="N68" s="2"/>
      <c r="O68" s="2"/>
      <c r="P68" s="2"/>
      <c r="Q68" s="2"/>
      <c r="R68" s="2"/>
      <c r="S68" s="2"/>
      <c r="T68" s="2"/>
      <c r="U68" s="2"/>
      <c r="V68" s="2"/>
      <c r="W68" s="2"/>
      <c r="X68" s="2"/>
      <c r="Y68" s="2"/>
      <c r="Z68" s="2"/>
      <c r="AA68" s="2"/>
    </row>
    <row r="69"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c r="AA69" s="2"/>
    </row>
    <row r="70"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c r="AA70" s="2"/>
    </row>
    <row r="71"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c r="AA71" s="2"/>
    </row>
    <row r="72"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c r="AA72" s="2"/>
    </row>
    <row r="73"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c r="AA73" s="2"/>
    </row>
    <row r="74"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c r="AA74" s="2"/>
    </row>
    <row r="75"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c r="AA75" s="2"/>
    </row>
    <row r="7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c r="AA76" s="2"/>
    </row>
    <row r="77"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c r="AA77" s="2"/>
    </row>
    <row r="78"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c r="AA78" s="2"/>
    </row>
    <row r="79"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c r="AA79" s="2"/>
    </row>
    <row r="80"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c r="AA80" s="2"/>
    </row>
    <row r="81"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c r="AA81" s="2"/>
    </row>
    <row r="82"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c r="AA82" s="2"/>
    </row>
    <row r="83"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c r="AA83" s="2"/>
    </row>
    <row r="84"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c r="AA84" s="2"/>
    </row>
    <row r="85"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c r="AA85" s="2"/>
    </row>
    <row r="8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c r="AA86" s="2"/>
    </row>
    <row r="87"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c r="AA87" s="2"/>
    </row>
    <row r="88"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c r="AA88" s="2"/>
    </row>
    <row r="89"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c r="AA89" s="2"/>
    </row>
    <row r="90"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c r="AA90" s="2"/>
    </row>
    <row r="91"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c r="AA91" s="2"/>
    </row>
    <row r="92"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c r="AA92" s="2"/>
    </row>
    <row r="93"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c r="AA93" s="2"/>
    </row>
    <row r="94"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c r="AA94" s="2"/>
    </row>
    <row r="95"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c r="AA95" s="2"/>
    </row>
    <row r="9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c r="AA96" s="2"/>
    </row>
    <row r="97"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c r="AA97" s="2"/>
    </row>
    <row r="98"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c r="AA98" s="2"/>
    </row>
    <row r="99"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c r="AA99" s="2"/>
    </row>
    <row r="100"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row>
    <row r="101"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row>
    <row r="102"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row>
    <row r="103"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row>
    <row r="104"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row>
    <row r="105"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row>
    <row r="10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row>
    <row r="107"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row>
    <row r="108"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row>
    <row r="109"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row>
    <row r="110"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row>
    <row r="111"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row>
    <row r="112"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row>
    <row r="113"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row>
    <row r="114"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row>
    <row r="115"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row>
    <row r="11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row>
    <row r="117"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row>
    <row r="118"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row>
    <row r="119"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row>
    <row r="120"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row>
    <row r="121"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row>
    <row r="122"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row>
    <row r="123"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row>
    <row r="124"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row>
    <row r="125"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row>
    <row r="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row>
    <row r="127"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row>
    <row r="128"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row>
    <row r="129"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row>
    <row r="130"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row>
    <row r="131"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row>
    <row r="132"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row>
    <row r="133"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row>
    <row r="134"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row>
    <row r="135"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row>
    <row r="13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row>
    <row r="137"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row>
    <row r="138"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row>
    <row r="139"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row>
    <row r="140"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row>
    <row r="141"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row>
    <row r="142"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row>
    <row r="143"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row>
    <row r="144"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row>
    <row r="145"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row>
    <row r="14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row>
    <row r="147"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row>
    <row r="148"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row>
    <row r="149"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row>
    <row r="150"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row>
    <row r="151"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row>
    <row r="152"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row>
    <row r="153"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row>
    <row r="154"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row>
    <row r="155"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row>
    <row r="15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row>
    <row r="157"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row>
    <row r="158"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row>
    <row r="159"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row>
    <row r="160"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row>
    <row r="161"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row>
    <row r="162"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row>
    <row r="163"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row>
    <row r="164"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row>
    <row r="165"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row>
    <row r="16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row>
    <row r="167"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row>
    <row r="168"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row>
    <row r="169"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row>
    <row r="170"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row>
    <row r="171"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row>
    <row r="172"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row>
    <row r="173"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row>
    <row r="174"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row>
    <row r="175"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row>
    <row r="17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row>
    <row r="177"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row>
    <row r="178"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row>
    <row r="179"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row>
    <row r="180"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row>
    <row r="181"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row>
    <row r="182"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row>
    <row r="183"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row>
    <row r="184"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row>
    <row r="185"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row>
    <row r="18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row>
    <row r="187"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row>
    <row r="188"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row>
    <row r="189"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row>
    <row r="190"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row>
    <row r="191"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row>
    <row r="192"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row>
    <row r="193"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row>
    <row r="194"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row>
    <row r="195"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row>
    <row r="19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row>
    <row r="197"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row>
    <row r="198"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row>
    <row r="199"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row>
    <row r="200"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row>
    <row r="201"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row>
    <row r="202"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row>
    <row r="203"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row>
    <row r="204"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row>
    <row r="205"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row>
    <row r="20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row>
    <row r="207"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row>
    <row r="208"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row>
    <row r="209"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row>
    <row r="210"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row>
    <row r="211"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row>
    <row r="212"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row>
    <row r="213"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row>
    <row r="214"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row>
    <row r="215"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row>
    <row r="21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row>
    <row r="217"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row>
    <row r="218"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row>
    <row r="219"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row>
    <row r="220"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row>
    <row r="221"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row>
    <row r="222"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row>
    <row r="223"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row>
    <row r="224"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row>
    <row r="225"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row>
    <row r="2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row>
    <row r="227"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row>
    <row r="228"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row>
    <row r="229"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row>
    <row r="230"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row>
    <row r="231"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row>
    <row r="232"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row>
    <row r="233"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row>
    <row r="234"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row>
    <row r="235"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row>
    <row r="23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row>
    <row r="237"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row>
  </sheetData>
  <printOptions/>
  <pageMargins bottom="0.75" footer="0.0" header="0.0" left="0.7" right="0.7" top="0.75"/>
  <pageSetup orientation="landscape"/>
  <drawing r:id="rId1"/>
</worksheet>
</file>

<file path=docProps/app.xml><?xml version="1.0" encoding="utf-8"?>
<Properties xmlns="http://schemas.openxmlformats.org/officeDocument/2006/extended-properties" xmlns:vt="http://schemas.openxmlformats.org/officeDocument/2006/docPropsVTyp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2026-04-08T18:24:32Z</dcterms:created>
  <dc:creator>openpyxl</dc:creator>
  <dcterms:modified xsi:type="dcterms:W3CDTF">2026-04-18T01:02:28Z</dcterms:modified>
</cp:coreProperties>
</file>