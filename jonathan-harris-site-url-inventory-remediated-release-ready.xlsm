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book Source of Truth" sheetId="1" r:id="rId4"/>
    <sheet state="visible" name="Pages" sheetId="2" r:id="rId5"/>
    <sheet state="visible" name="Summary" sheetId="3" r:id="rId6"/>
    <sheet state="visible" name="BuyNow Redirects" sheetId="4" r:id="rId7"/>
    <sheet state="visible" name="Ebooks Master" sheetId="5" r:id="rId8"/>
  </sheets>
  <definedNames/>
  <calcPr/>
  <extLst>
    <ext uri="GoogleSheetsCustomDataVersion2">
      <go:sheetsCustomData xmlns:go="http://customooxmlschemas.google.com/" r:id="rId9" roundtripDataChecksum="JOjCOjxoUDPEDcFMQfZSYgIZmu2nL4Zemja/lg8moG0="/>
    </ext>
  </extLst>
</workbook>
</file>

<file path=xl/sharedStrings.xml><?xml version="1.0" encoding="utf-8"?>
<sst xmlns="http://schemas.openxmlformats.org/spreadsheetml/2006/main" count="1626" uniqueCount="1040">
  <si>
    <t>Ebook source-of-truth rules</t>
  </si>
  <si>
    <t>Workbook status</t>
  </si>
  <si>
    <t>This workbook is the canonical metadata source for the ebook catalogue.</t>
  </si>
  <si>
    <t>Canonical sheet</t>
  </si>
  <si>
    <t>Ebooks Master</t>
  </si>
  <si>
    <t>Title rule</t>
  </si>
  <si>
    <t>The Title column is the canonical ebook title to use across manuscript front matter, listings, and website copy.</t>
  </si>
  <si>
    <t>Manuscript drift tracking</t>
  </si>
  <si>
    <t>Ebooks Master includes manuscript filename, observed manuscript title, and title alignment status for each book.</t>
  </si>
  <si>
    <t>Page-count rule</t>
  </si>
  <si>
    <t>Amazon ebook page count is marketplace-defined. It may differ from the manuscript PDF page count and is treated as the canonical marketplace count here.</t>
  </si>
  <si>
    <t>Operational sheets</t>
  </si>
  <si>
    <t>BuyNow Redirects and Pages remain operational views. Their page-count headers have been clarified to mean Amazon ebook page count.</t>
  </si>
  <si>
    <t>Updated on</t>
  </si>
  <si>
    <t>2026-03-21</t>
  </si>
  <si>
    <t>Base domain</t>
  </si>
  <si>
    <t>https://jonathan-harris.online</t>
  </si>
  <si>
    <t>Generated from</t>
  </si>
  <si>
    <t>Checked against repo HTML + _redirects buy-now mapping + workbook BuyNow Redirects/Ebooks Master metadata</t>
  </si>
  <si>
    <t>Generated on</t>
  </si>
  <si>
    <t>2026-03-22</t>
  </si>
  <si>
    <t>Relative file path</t>
  </si>
  <si>
    <t>Public URL path</t>
  </si>
  <si>
    <t>Full URL</t>
  </si>
  <si>
    <t>Page title</t>
  </si>
  <si>
    <t>URL type</t>
  </si>
  <si>
    <t>Buy now URL</t>
  </si>
  <si>
    <t>Redirect URL</t>
  </si>
  <si>
    <t>Notes</t>
  </si>
  <si>
    <t>ASIN</t>
  </si>
  <si>
    <t>Amazon ebook page count</t>
  </si>
  <si>
    <t>Publication date</t>
  </si>
  <si>
    <t>Cover art URL</t>
  </si>
  <si>
    <t>index.html</t>
  </si>
  <si>
    <t>/</t>
  </si>
  <si>
    <t>Jonathan Harris — AI Author &amp; Podcast Host</t>
  </si>
  <si>
    <t>Standard page route</t>
  </si>
  <si>
    <t>404.html</t>
  </si>
  <si>
    <t>/404</t>
  </si>
  <si>
    <t>Page Not Found | Jonathan Harris</t>
  </si>
  <si>
    <t>affiliate/index.html</t>
  </si>
  <si>
    <t>/affiliate/</t>
  </si>
  <si>
    <t>Affiliate Partners | Jonathan Harris</t>
  </si>
  <si>
    <t>topics/ai-for-beginners/index.html</t>
  </si>
  <si>
    <t>/topics/ai-for-beginners/</t>
  </si>
  <si>
    <t>AI for Beginners | Jonathan Harris</t>
  </si>
  <si>
    <t>topics/ai-in-business/index.html</t>
  </si>
  <si>
    <t>/topics/ai-in-business/</t>
  </si>
  <si>
    <t>AI in Business | Jonathan Harris</t>
  </si>
  <si>
    <t>topics/ai-in-healthcare/index.html</t>
  </si>
  <si>
    <t>/topics/ai-in-healthcare/</t>
  </si>
  <si>
    <t>AI in Healthcare | Jonathan Harris</t>
  </si>
  <si>
    <t>api/docs/index.html</t>
  </si>
  <si>
    <t>/api/docs/</t>
  </si>
  <si>
    <t>API Docs | Jonathan Harris</t>
  </si>
  <si>
    <t>bio/index.html</t>
  </si>
  <si>
    <t>/bio/</t>
  </si>
  <si>
    <t>Jonathan Harris — AI Author, Podcast Host &amp; Writer of 36 Plain-English AI Books</t>
  </si>
  <si>
    <t>blog/index.html</t>
  </si>
  <si>
    <t>/blog/</t>
  </si>
  <si>
    <t>AI Blog | Jonathan Harris</t>
  </si>
  <si>
    <t>blog/weekly/index.html</t>
  </si>
  <si>
    <t>/blog/weekly/</t>
  </si>
  <si>
    <t>Weekly posts status | Jonathan Harris</t>
  </si>
  <si>
    <t>catalogue/agriculture/index.html</t>
  </si>
  <si>
    <t>/catalogue/agriculture/</t>
  </si>
  <si>
    <t>Agriculture AI Books | Jonathan Harris</t>
  </si>
  <si>
    <t>catalogue/artificial-intelligence/index.html</t>
  </si>
  <si>
    <t>/catalogue/artificial-intelligence/</t>
  </si>
  <si>
    <t>Artificial Intelligence AI Books | Jonathan Harris</t>
  </si>
  <si>
    <t>catalogue/construction/index.html</t>
  </si>
  <si>
    <t>/catalogue/construction/</t>
  </si>
  <si>
    <t>Construction AI Books | Jonathan Harris</t>
  </si>
  <si>
    <t>catalogue/creativity/index.html</t>
  </si>
  <si>
    <t>/catalogue/creativity/</t>
  </si>
  <si>
    <t>Creativity AI Books | Jonathan Harris</t>
  </si>
  <si>
    <t>catalogue/cyber-security/index.html</t>
  </si>
  <si>
    <t>/catalogue/cyber-security/</t>
  </si>
  <si>
    <t>Cyber Security AI Books | Jonathan Harris</t>
  </si>
  <si>
    <t>catalogue/defence/index.html</t>
  </si>
  <si>
    <t>/catalogue/defence/</t>
  </si>
  <si>
    <t>Defence AI Books | Jonathan Harris</t>
  </si>
  <si>
    <t>catalogue/education/index.html</t>
  </si>
  <si>
    <t>/catalogue/education/</t>
  </si>
  <si>
    <t>Education AI Books | Jonathan Harris</t>
  </si>
  <si>
    <t>catalogue/energy/index.html</t>
  </si>
  <si>
    <t>/catalogue/energy/</t>
  </si>
  <si>
    <t>Energy AI Books | Jonathan Harris</t>
  </si>
  <si>
    <t>catalogue/environment/index.html</t>
  </si>
  <si>
    <t>/catalogue/environment/</t>
  </si>
  <si>
    <t>Environment AI Books | Jonathan Harris</t>
  </si>
  <si>
    <t>catalogue/ethics/index.html</t>
  </si>
  <si>
    <t>/catalogue/ethics/</t>
  </si>
  <si>
    <t>Ethics AI Books | Jonathan Harris</t>
  </si>
  <si>
    <t>catalogue/finance/index.html</t>
  </si>
  <si>
    <t>/catalogue/finance/</t>
  </si>
  <si>
    <t>Finance AI Books | Jonathan Harris</t>
  </si>
  <si>
    <t>catalogue/future-of-work/index.html</t>
  </si>
  <si>
    <t>/catalogue/future-of-work/</t>
  </si>
  <si>
    <t>Future of Work AI Books | Jonathan Harris</t>
  </si>
  <si>
    <t>catalogue/gaming/index.html</t>
  </si>
  <si>
    <t>/catalogue/gaming/</t>
  </si>
  <si>
    <t>Gaming AI Books | Jonathan Harris</t>
  </si>
  <si>
    <t>catalogue/government/index.html</t>
  </si>
  <si>
    <t>/catalogue/government/</t>
  </si>
  <si>
    <t>Government AI Books | Jonathan Harris</t>
  </si>
  <si>
    <t>catalogue/healthcare/index.html</t>
  </si>
  <si>
    <t>/catalogue/healthcare/</t>
  </si>
  <si>
    <t>Healthcare AI Books | Jonathan Harris</t>
  </si>
  <si>
    <t>catalogue/history/index.html</t>
  </si>
  <si>
    <t>/catalogue/history/</t>
  </si>
  <si>
    <t>History AI Books | Jonathan Harris</t>
  </si>
  <si>
    <t>catalogue/industry/index.html</t>
  </si>
  <si>
    <t>/catalogue/industry/</t>
  </si>
  <si>
    <t>Industry AI Books | Jonathan Harris</t>
  </si>
  <si>
    <t>catalogue/law/index.html</t>
  </si>
  <si>
    <t>/catalogue/law/</t>
  </si>
  <si>
    <t>Law AI Books | Jonathan Harris</t>
  </si>
  <si>
    <t>catalogue/manufacturing/index.html</t>
  </si>
  <si>
    <t>/catalogue/manufacturing/</t>
  </si>
  <si>
    <t>Manufacturing AI Books | Jonathan Harris</t>
  </si>
  <si>
    <t>catalogue/media/index.html</t>
  </si>
  <si>
    <t>/catalogue/media/</t>
  </si>
  <si>
    <t>Media AI Books | Jonathan Harris</t>
  </si>
  <si>
    <t>catalogue/retail/index.html</t>
  </si>
  <si>
    <t>/catalogue/retail/</t>
  </si>
  <si>
    <t>Retail AI Books | Jonathan Harris</t>
  </si>
  <si>
    <t>catalogue/science/index.html</t>
  </si>
  <si>
    <t>/catalogue/science/</t>
  </si>
  <si>
    <t>Science AI Books | Jonathan Harris</t>
  </si>
  <si>
    <t>catalogue/sports/index.html</t>
  </si>
  <si>
    <t>/catalogue/sports/</t>
  </si>
  <si>
    <t>Sports AI Books | Jonathan Harris</t>
  </si>
  <si>
    <t>catalogue/transportation/index.html</t>
  </si>
  <si>
    <t>/catalogue/transportation/</t>
  </si>
  <si>
    <t>Transportation AI Books | Jonathan Harris</t>
  </si>
  <si>
    <t>compare/index.html</t>
  </si>
  <si>
    <t>/compare/</t>
  </si>
  <si>
    <t>AI Topic Comparisons | Jonathan Harris</t>
  </si>
  <si>
    <t>contact/index.html</t>
  </si>
  <si>
    <t>/contact/</t>
  </si>
  <si>
    <t>Get in Touch | Jonathan Harris</t>
  </si>
  <si>
    <t>ebooks/index.html</t>
  </si>
  <si>
    <t>/ebooks/</t>
  </si>
  <si>
    <t>AI eBooks Catalogue | Jonathan Harris</t>
  </si>
  <si>
    <t>ebooks/ai-and-formula-1-redefining-speed-and-strategy-with-intelligent-technology/index.html</t>
  </si>
  <si>
    <t>/ebooks/ai-and-formula-1-redefining-speed-and-strategy-with-intelligent-technology/</t>
  </si>
  <si>
    <t>AI and Formula 1: Redefining Speed and Strategy with Intelligent Technology | Jonathan Harris</t>
  </si>
  <si>
    <t>Canonical ebook route</t>
  </si>
  <si>
    <t>https://jonathan-harris.online/ebooks/ai-and-formula-1-redefining-speed-and-strategy-with-intelligent-technology/buy-now</t>
  </si>
  <si>
    <t>https://mybook.to/Gi93rOF</t>
  </si>
  <si>
    <t>ebooks/ai-in-agriculture-revolutionizing-farming-for-a-sustainable-future/index.html</t>
  </si>
  <si>
    <t>/ebooks/ai-in-agriculture-revolutionizing-farming-for-a-sustainable-future/</t>
  </si>
  <si>
    <t>AI in Agriculture: Revolutionizing Farming for a Sustainable Future | Jonathan Harris</t>
  </si>
  <si>
    <t>https://jonathan-harris.online/ebooks/ai-in-agriculture-revolutionizing-farming-for-a-sustainable-future/buy-now</t>
  </si>
  <si>
    <t>https://mybook.to/PsciMD5</t>
  </si>
  <si>
    <t>ebooks/ai-in-aviation-transforming-safety-and-sustainability/index.html</t>
  </si>
  <si>
    <t>/ebooks/ai-in-aviation-transforming-safety-and-sustainability/</t>
  </si>
  <si>
    <t>AI in Aviation: Transforming Safety and Sustainability | Jonathan Harris</t>
  </si>
  <si>
    <t>https://jonathan-harris.online/ebooks/ai-in-aviation-transforming-safety-and-sustainability/buy-now</t>
  </si>
  <si>
    <t>https://mybook.to/13VF</t>
  </si>
  <si>
    <t>ebooks/ai-in-education-reimagining-learning-for-every-student/index.html</t>
  </si>
  <si>
    <t>/ebooks/ai-in-education-reimagining-learning-for-every-student/</t>
  </si>
  <si>
    <t>AI in Education: Reimagining Learning for Every Student | Jonathan Harris</t>
  </si>
  <si>
    <t>https://jonathan-harris.online/ebooks/ai-in-education-reimagining-learning-for-every-student/buy-now</t>
  </si>
  <si>
    <t>https://mybook.to/Ldhe41</t>
  </si>
  <si>
    <t>ebooks/ai-in-maritime-revolutionizing-shipping-for-sustainability/index.html</t>
  </si>
  <si>
    <t>/ebooks/ai-in-maritime-revolutionizing-shipping-for-sustainability/</t>
  </si>
  <si>
    <t>AI in Maritime: Revolutionizing Shipping for Sustainability | Jonathan Harris</t>
  </si>
  <si>
    <t>https://jonathan-harris.online/ebooks/ai-in-maritime-revolutionizing-shipping-for-sustainability/buy-now</t>
  </si>
  <si>
    <t>https://mybook.to/yANzV8</t>
  </si>
  <si>
    <t>ebooks/ai-powered-smart-grid-revolutionizing-electricity-distribution-and-generation/index.html</t>
  </si>
  <si>
    <t>/ebooks/ai-powered-smart-grid-revolutionizing-electricity-distribution-and-generation/</t>
  </si>
  <si>
    <t>AI-Powered Smart Grid: Revolutionizing Electricity Distribution and Generation | Jonathan Harris</t>
  </si>
  <si>
    <t>https://jonathan-harris.online/ebooks/ai-powered-smart-grid-revolutionizing-electricity-distribution-and-generation/buy-now</t>
  </si>
  <si>
    <t>https://mybook.to/sntL</t>
  </si>
  <si>
    <t>ebooks/ai-revolution-in-railways-modernizing-travel-for-a-smarter-future/index.html</t>
  </si>
  <si>
    <t>/ebooks/ai-revolution-in-railways-modernizing-travel-for-a-smarter-future/</t>
  </si>
  <si>
    <t>AI Revolution in Railways: Modernizing Travel for a Smarter Future | Jonathan Harris</t>
  </si>
  <si>
    <t>https://jonathan-harris.online/ebooks/ai-revolution-in-railways-modernizing-travel-for-a-smarter-future/buy-now</t>
  </si>
  <si>
    <t>https://mybook.to/JkJfDp</t>
  </si>
  <si>
    <t>ebooks/artificial-intelligence-and-the-law-case-studies-and-future-trends/index.html</t>
  </si>
  <si>
    <t>/ebooks/artificial-intelligence-and-the-law-case-studies-and-future-trends/</t>
  </si>
  <si>
    <t>Artificial Intelligence and the Law: Case Studies, Challenges, and Future Trends | Jonathan Harris</t>
  </si>
  <si>
    <t>https://jonathan-harris.online/ebooks/artificial-intelligence-and-the-law-case-studies-and-future-trends/buy-now</t>
  </si>
  <si>
    <t>https://mybook.to/bWpjeB</t>
  </si>
  <si>
    <t>ebooks/artificial-intelligence-for-cyber-security-a-practical-guide-to-data-breach-prevention/index.html</t>
  </si>
  <si>
    <t>/ebooks/artificial-intelligence-for-cyber-security-a-practical-guide-to-data-breach-prevention/</t>
  </si>
  <si>
    <t>Artificial Intelligence for Cyber Security: A Practical Guide to Data Breach Prevention | Jonathan Harris</t>
  </si>
  <si>
    <t>https://jonathan-harris.online/ebooks/artificial-intelligence-for-cyber-security-a-practical-guide-to-data-breach-prevention/buy-now</t>
  </si>
  <si>
    <t>https://mybook.to/9Wvf</t>
  </si>
  <si>
    <t>ebooks/artificial-intelligence-for-wildlife-conservation-revolutionizing-biodiversity-protection-through-technology/index.html</t>
  </si>
  <si>
    <t>/ebooks/artificial-intelligence-for-wildlife-conservation-revolutionizing-biodiversity-protection-through-technology/</t>
  </si>
  <si>
    <t>Artificial Intelligence for Wildlife Conservation: Revolutionizing Biodiversity Protection through Technology | Jonathan Harris</t>
  </si>
  <si>
    <t>https://jonathan-harris.online/ebooks/artificial-intelligence-for-wildlife-conservation-revolutionizing-biodiversity-protection-through-technology/buy-now</t>
  </si>
  <si>
    <t>https://mybook.to/94Q3</t>
  </si>
  <si>
    <t>ebooks/artificial-intelligence-in-banking-revolutionizing-finance-and-data-security/index.html</t>
  </si>
  <si>
    <t>/ebooks/artificial-intelligence-in-banking-revolutionizing-finance-and-data-security/</t>
  </si>
  <si>
    <t>Artificial Intelligence in Banking: Revolutionizing Finance and Data Security | Jonathan Harris</t>
  </si>
  <si>
    <t>https://jonathan-harris.online/ebooks/artificial-intelligence-in-banking-revolutionizing-finance-and-data-security/buy-now</t>
  </si>
  <si>
    <t>https://mybook.to/8VjT</t>
  </si>
  <si>
    <t>ebooks/artificial-intelligence-in-construction-building-a-sustainable-future/index.html</t>
  </si>
  <si>
    <t>/ebooks/artificial-intelligence-in-construction-building-a-sustainable-future/</t>
  </si>
  <si>
    <t>Artificial Intelligence in Construction: Building a Sustainable Future | Jonathan Harris</t>
  </si>
  <si>
    <t>https://jonathan-harris.online/ebooks/artificial-intelligence-in-construction-building-a-sustainable-future/buy-now</t>
  </si>
  <si>
    <t>https://mybook.to/v98RD</t>
  </si>
  <si>
    <t>ebooks/artificial-intelligence-in-industry-a-comprehensive-guide/index.html</t>
  </si>
  <si>
    <t>/ebooks/artificial-intelligence-in-industry-a-comprehensive-guide/</t>
  </si>
  <si>
    <t>Artificial Intelligence in Industry: A Comprehensive Guide | Jonathan Harris</t>
  </si>
  <si>
    <t>https://jonathan-harris.online/ebooks/artificial-intelligence-in-industry-a-comprehensive-guide/buy-now</t>
  </si>
  <si>
    <t>https://mybook.to/t2Au28</t>
  </si>
  <si>
    <t>ebooks/artificial-intelligence-in-logistics-optimizing-efficiency-and-sustainability/index.html</t>
  </si>
  <si>
    <t>/ebooks/artificial-intelligence-in-logistics-optimizing-efficiency-and-sustainability/</t>
  </si>
  <si>
    <t>Artificial Intelligence in Logistics: Transforming Supply Chains for Efficiency and Sustainability | Jonathan Harris</t>
  </si>
  <si>
    <t>https://jonathan-harris.online/ebooks/artificial-intelligence-in-logistics-optimizing-efficiency-and-sustainability/buy-now</t>
  </si>
  <si>
    <t>https://mybook.to/zSKnSW</t>
  </si>
  <si>
    <t>ebooks/artificial-intelligence-in-pharmaceuticals-revolutionizing-healthcare/index.html</t>
  </si>
  <si>
    <t>/ebooks/artificial-intelligence-in-pharmaceuticals-revolutionizing-healthcare/</t>
  </si>
  <si>
    <t>Artificial Intelligence in Pharmaceuticals: Revolutionizing Healthcare | Jonathan Harris</t>
  </si>
  <si>
    <t>https://jonathan-harris.online/ebooks/artificial-intelligence-in-pharmaceuticals-revolutionizing-healthcare/buy-now</t>
  </si>
  <si>
    <t>https://mybook.to/3cA8</t>
  </si>
  <si>
    <t>ebooks/artificial-intelligence-in-sports-revolutionizing-performance-and-fan-engagement/index.html</t>
  </si>
  <si>
    <t>/ebooks/artificial-intelligence-in-sports-revolutionizing-performance-and-fan-engagement/</t>
  </si>
  <si>
    <t>Artificial Intelligence in Sports: Revolutionizing Performance and Fan Engagement | Jonathan Harris</t>
  </si>
  <si>
    <t>https://jonathan-harris.online/ebooks/artificial-intelligence-in-sports-revolutionizing-performance-and-fan-engagement/buy-now</t>
  </si>
  <si>
    <t>https://mybook.to/73M1</t>
  </si>
  <si>
    <t>ebooks/artificial-intelligence-in-veterinary-medicine-transforming-animal-healthcare-through-innovation/index.html</t>
  </si>
  <si>
    <t>/ebooks/artificial-intelligence-in-veterinary-medicine-transforming-animal-healthcare-through-innovation/</t>
  </si>
  <si>
    <t>Artificial Intelligence in Veterinary Medicine: Transforming Animal Healthcare Through Innovation | Jonathan Harris</t>
  </si>
  <si>
    <t>https://jonathan-harris.online/ebooks/artificial-intelligence-in-veterinary-medicine-transforming-animal-healthcare-through-innovation/buy-now</t>
  </si>
  <si>
    <t>https://mybook.to/SOjUE</t>
  </si>
  <si>
    <t>ebooks/artificial-intelligence-powered-retail-revolutionizing-customer-experience-for-a-sustainable-future/index.html</t>
  </si>
  <si>
    <t>/ebooks/artificial-intelligence-powered-retail-revolutionizing-customer-experience-for-a-sustainable-future/</t>
  </si>
  <si>
    <t>Artificial Intelligence Powered Retail: Revolutionizing Customer Experience for a Sustainable Future | Jonathan Harris</t>
  </si>
  <si>
    <t>https://jonathan-harris.online/ebooks/artificial-intelligence-powered-retail-revolutionizing-customer-experience-for-a-sustainable-future/buy-now</t>
  </si>
  <si>
    <t>https://mybook.to/POYR</t>
  </si>
  <si>
    <t>ebooks/artificial-intelligence-revolution-in-manufacturing-modernizing-operations-maintenance-and-service-delivery/index.html</t>
  </si>
  <si>
    <t>/ebooks/artificial-intelligence-revolution-in-manufacturing-modernizing-operations-maintenance-and-service-delivery/</t>
  </si>
  <si>
    <t>Artificial Intelligence Revolution in Manufacturing: Modernizing Operations, Maintenance, and Service Delivery | Jonathan Harris</t>
  </si>
  <si>
    <t>https://jonathan-harris.online/ebooks/artificial-intelligence-revolution-in-manufacturing-modernizing-operations-maintenance-and-service-delivery/buy-now</t>
  </si>
  <si>
    <t>https://mybook.to/SOAEb</t>
  </si>
  <si>
    <t>ebooks/beyond-earth-how-ai-is-transforming-space-exploration/index.html</t>
  </si>
  <si>
    <t>/ebooks/beyond-earth-how-ai-is-transforming-space-exploration/</t>
  </si>
  <si>
    <t>Beyond Earth: How AI is Transforming Space Exploration | Jonathan Harris</t>
  </si>
  <si>
    <t>https://jonathan-harris.online/ebooks/beyond-earth-how-ai-is-transforming-space-exploration/buy-now</t>
  </si>
  <si>
    <t>https://mybook.to/iY9m</t>
  </si>
  <si>
    <t>ebooks/climate-intelligence-harnessing-ai-for-a-greener-future/index.html</t>
  </si>
  <si>
    <t>/ebooks/climate-intelligence-harnessing-ai-for-a-greener-future/</t>
  </si>
  <si>
    <t>Climate Intelligence: Harnessing AI for a Greener Future | Jonathan Harris</t>
  </si>
  <si>
    <t>https://jonathan-harris.online/ebooks/climate-intelligence-harnessing-ai-for-a-greener-future/buy-now</t>
  </si>
  <si>
    <t>https://mybook.to/aKj8Fh</t>
  </si>
  <si>
    <t>ebooks/digital-defense-the-role-of-ai-in-modern-warfare/index.html</t>
  </si>
  <si>
    <t>/ebooks/digital-defense-the-role-of-ai-in-modern-warfare/</t>
  </si>
  <si>
    <t>Digital Defense: The Role of AI in Modern Warfare | Jonathan Harris</t>
  </si>
  <si>
    <t>https://jonathan-harris.online/ebooks/digital-defense-the-role-of-ai-in-modern-warfare/buy-now</t>
  </si>
  <si>
    <t>https://mybook.to/digitaldefense</t>
  </si>
  <si>
    <t>ebooks/digital-diagnosis-how-ai-is-revolutionizing-healthcare/index.html</t>
  </si>
  <si>
    <t>/ebooks/digital-diagnosis-how-ai-is-revolutionizing-healthcare/</t>
  </si>
  <si>
    <t>Digital Diagnosis: How AI is Revolutionizing Healthcare | Jonathan Harris</t>
  </si>
  <si>
    <t>https://jonathan-harris.online/ebooks/digital-diagnosis-how-ai-is-revolutionizing-healthcare/buy-now</t>
  </si>
  <si>
    <t>https://mybook.to/hrnKOD</t>
  </si>
  <si>
    <t>ebooks/from-reporters-to-robots-how-ai-is-reshaping-journalism/index.html</t>
  </si>
  <si>
    <t>/ebooks/from-reporters-to-robots-how-ai-is-reshaping-journalism/</t>
  </si>
  <si>
    <t>From Reporters to Robots: How AI is Reshaping Journalism | Jonathan Harris</t>
  </si>
  <si>
    <t>https://jonathan-harris.online/ebooks/from-reporters-to-robots-how-ai-is-reshaping-journalism/buy-now</t>
  </si>
  <si>
    <t>https://mybook.to/DWfAK</t>
  </si>
  <si>
    <t>ebooks/game-ai-unleashed-from-finite-state-machines-to-machine-learning/index.html</t>
  </si>
  <si>
    <t>/ebooks/game-ai-unleashed-from-finite-state-machines-to-machine-learning/</t>
  </si>
  <si>
    <t>Game AI Unleashed: From Finite State Machines to Machine Learning | Jonathan Harris</t>
  </si>
  <si>
    <t>https://jonathan-harris.online/ebooks/game-ai-unleashed-from-finite-state-machines-to-machine-learning/buy-now</t>
  </si>
  <si>
    <t>https://mybook.to/e7GozY6</t>
  </si>
  <si>
    <t>ebooks/lights-camera-algorithm-ai-s-role-in-modern-filmmaking/index.html</t>
  </si>
  <si>
    <t>/ebooks/lights-camera-algorithm-ai-s-role-in-modern-filmmaking/</t>
  </si>
  <si>
    <t>Lights, Camera, Algorithm: AI’s Role in Modern Filmmaking | Jonathan Harris</t>
  </si>
  <si>
    <t>https://jonathan-harris.online/ebooks/lights-camera-algorithm-ai-s-role-in-modern-filmmaking/buy-now</t>
  </si>
  <si>
    <t>https://mybook.to/EcO2DI</t>
  </si>
  <si>
    <t>ebooks/smart-buildings-ai-powered-efficiency-and-sustainability/index.html</t>
  </si>
  <si>
    <t>/ebooks/smart-buildings-ai-powered-efficiency-and-sustainability/</t>
  </si>
  <si>
    <t>Smart Buildings: AI-Powered Efficiency and Sustainability | Jonathan Harris</t>
  </si>
  <si>
    <t>https://jonathan-harris.online/ebooks/smart-buildings-ai-powered-efficiency-and-sustainability/buy-now</t>
  </si>
  <si>
    <t>https://mybook.to/QEcdy</t>
  </si>
  <si>
    <t>ebooks/the-ai-behind-your-feed-personalization-moderation-and-the-future-of-social-media/index.html</t>
  </si>
  <si>
    <t>/ebooks/the-ai-behind-your-feed-personalization-moderation-and-the-future-of-social-media/</t>
  </si>
  <si>
    <t>The AI Behind Your Feed: Personalization, Moderation, and the Future of Social Media | Jonathan Harris</t>
  </si>
  <si>
    <t>https://jonathan-harris.online/ebooks/the-ai-behind-your-feed-personalization-moderation-and-the-future-of-social-media/buy-now</t>
  </si>
  <si>
    <t>https://mybook.to/rNRr</t>
  </si>
  <si>
    <t>ebooks/the-ai-music-revolution-creativity-controversy-and-collaboration/index.html</t>
  </si>
  <si>
    <t>/ebooks/the-ai-music-revolution-creativity-controversy-and-collaboration/</t>
  </si>
  <si>
    <t>The AI Music Revolution: Creativity, Controversy, and Collaboration | Jonathan Harris</t>
  </si>
  <si>
    <t>https://jonathan-harris.online/ebooks/the-ai-music-revolution-creativity-controversy-and-collaboration/buy-now</t>
  </si>
  <si>
    <t>https://mybook.to/Io32sC3</t>
  </si>
  <si>
    <t>ebooks/the-architects-of-ai-pioneers-breakthroughs-and-the-road-ahead/index.html</t>
  </si>
  <si>
    <t>/ebooks/the-architects-of-ai-pioneers-breakthroughs-and-the-road-ahead/</t>
  </si>
  <si>
    <t>The Architects of AI: Pioneers, Breakthroughs, and the Road Ahead | Jonathan Harris</t>
  </si>
  <si>
    <t>https://jonathan-harris.online/ebooks/the-architects-of-ai-pioneers-breakthroughs-and-the-road-ahead/buy-now</t>
  </si>
  <si>
    <t>https://mybook.to/qFAI</t>
  </si>
  <si>
    <t>ebooks/the-artificial-intelligence-job-shift-navigating-the-future-of-work/index.html</t>
  </si>
  <si>
    <t>/ebooks/the-artificial-intelligence-job-shift-navigating-the-future-of-work/</t>
  </si>
  <si>
    <t>The Artificial Intelligence Job Shift: Navigating the Future of Work | Jonathan Harris</t>
  </si>
  <si>
    <t>https://jonathan-harris.online/ebooks/the-artificial-intelligence-job-shift-navigating-the-future-of-work/buy-now</t>
  </si>
  <si>
    <t>https://mybook.to/aijobshift</t>
  </si>
  <si>
    <t>ebooks/the-artificial-intelligence-revolution-from-algorithms-to-consciousness/index.html</t>
  </si>
  <si>
    <t>/ebooks/the-artificial-intelligence-revolution-from-algorithms-to-consciousness/</t>
  </si>
  <si>
    <t>The Artificial Intelligence Revolution: From Algorithms to Consciousness | Jonathan Harris</t>
  </si>
  <si>
    <t>https://jonathan-harris.online/ebooks/the-artificial-intelligence-revolution-from-algorithms-to-consciousness/buy-now</t>
  </si>
  <si>
    <t>https://mybook.to/YYLW</t>
  </si>
  <si>
    <t>ebooks/the-autonomous-revolution-artificial-intelligence-and-the-future-of-the-automotive-industry/index.html</t>
  </si>
  <si>
    <t>/ebooks/the-autonomous-revolution-artificial-intelligence-and-the-future-of-the-automotive-industry/</t>
  </si>
  <si>
    <t>The Autonomous Revolution: Artificial Intelligence and the Future of the Automotive Industry | Jonathan Harris</t>
  </si>
  <si>
    <t>https://jonathan-harris.online/ebooks/the-autonomous-revolution-artificial-intelligence-and-the-future-of-the-automotive-industry/buy-now</t>
  </si>
  <si>
    <t>https://mybook.to/DS4Ag</t>
  </si>
  <si>
    <t>ebooks/the-dumbening-how-ai-is-reshaping-our-minds/index.html</t>
  </si>
  <si>
    <t>/ebooks/the-dumbening-how-ai-is-reshaping-our-minds/</t>
  </si>
  <si>
    <t>The Dumbening: How AI is Reshaping Our Minds | Jonathan Harris</t>
  </si>
  <si>
    <t>https://jonathan-harris.online/ebooks/the-dumbening-how-ai-is-reshaping-our-minds/buy-now</t>
  </si>
  <si>
    <t>https://mybook.to/YcRiCRp</t>
  </si>
  <si>
    <t>ebooks/the-future-of-government-leveraging-ai-to-enhance-services-and-safeguard-information/index.html</t>
  </si>
  <si>
    <t>/ebooks/the-future-of-government-leveraging-ai-to-enhance-services-and-safeguard-information/</t>
  </si>
  <si>
    <t>The Future of Government: Leveraging AI to Enhance Services and Safeguard Information | Jonathan Harris</t>
  </si>
  <si>
    <t>https://jonathan-harris.online/ebooks/the-future-of-government-leveraging-ai-to-enhance-services-and-safeguard-information/buy-now</t>
  </si>
  <si>
    <t>https://mybook.to/3TwcUA</t>
  </si>
  <si>
    <t>ebooks/the-house-always-knows-ai-gambling-and-the-ethics-of-personalized-gaming/index.html</t>
  </si>
  <si>
    <t>/ebooks/the-house-always-knows-ai-gambling-and-the-ethics-of-personalized-gaming/</t>
  </si>
  <si>
    <t>The House Always Knows: AI, Gambling, and the Ethics of Personalized Gaming | Jonathan Harris</t>
  </si>
  <si>
    <t>https://jonathan-harris.online/ebooks/the-house-always-knows-ai-gambling-and-the-ethics-of-personalized-gaming/buy-now</t>
  </si>
  <si>
    <t>https://mybook.to/K7nVJGv</t>
  </si>
  <si>
    <t>topics/generative-ai/index.html</t>
  </si>
  <si>
    <t>/topics/generative-ai/</t>
  </si>
  <si>
    <t>Generative AI | Jonathan Harris</t>
  </si>
  <si>
    <t>glossary/index.html</t>
  </si>
  <si>
    <t>/glossary/</t>
  </si>
  <si>
    <t>Glossary | Jonathan Harris</t>
  </si>
  <si>
    <t>newsletter/index.html</t>
  </si>
  <si>
    <t>/newsletter/</t>
  </si>
  <si>
    <t>Get the AI Edge | Jonathan Harris</t>
  </si>
  <si>
    <t>podcast/index.html</t>
  </si>
  <si>
    <t>/podcast/</t>
  </si>
  <si>
    <t>Turing’s Torch: AI Weekly | Jonathan Harris</t>
  </si>
  <si>
    <t>privacy-policy/index.html</t>
  </si>
  <si>
    <t>/privacy-policy/</t>
  </si>
  <si>
    <t>Privacy Policy | Jonathan Harris</t>
  </si>
  <si>
    <t>topics/robotics-automation/index.html</t>
  </si>
  <si>
    <t>/topics/robotics-automation/</t>
  </si>
  <si>
    <t>Robotics &amp; Automation | Jonathan Harris</t>
  </si>
  <si>
    <t>terms-of-use/index.html</t>
  </si>
  <si>
    <t>/terms-of-use/</t>
  </si>
  <si>
    <t>Terms of Use | Jonathan Harris</t>
  </si>
  <si>
    <t>topics/index.html</t>
  </si>
  <si>
    <t>/topics/</t>
  </si>
  <si>
    <t>AI Topics | Jonathan Harris</t>
  </si>
  <si>
    <t>Site URL inventory summary</t>
  </si>
  <si>
    <t>Total HTML pages listed</t>
  </si>
  <si>
    <t>Book/public ebook pages</t>
  </si>
  <si>
    <t>Pages with buy-now URL</t>
  </si>
  <si>
    <t>Books with imported metadata</t>
  </si>
  <si>
    <t>Buy-now redirect rules listed</t>
  </si>
  <si>
    <t>Cover art URLs imported</t>
  </si>
  <si>
    <t>Slug</t>
  </si>
  <si>
    <t>Book URL</t>
  </si>
  <si>
    <t>Legacy alias URL</t>
  </si>
  <si>
    <t>ai-and-formula-1-redefining-speed-and-strategy-with-intelligent-technology</t>
  </si>
  <si>
    <t>https://jonathan-harris.online/ebooks/ai-and-formula-1-redefining-speed-and-strategy-with-intelligent-technology/</t>
  </si>
  <si>
    <t>https://jonathan-harris.online/book/ai-and-formula-1-redefining-speed-and-strategy-with-intelligent-technology/buy-now</t>
  </si>
  <si>
    <t>B0DQHSD858</t>
  </si>
  <si>
    <t>https://images.jonathan-harris.online/ai-formula-speed-webp</t>
  </si>
  <si>
    <t>ai-in-agriculture-revolutionizing-farming-for-a-sustainable-future</t>
  </si>
  <si>
    <t>https://jonathan-harris.online/ebooks/ai-in-agriculture-revolutionizing-farming-for-a-sustainable-future/</t>
  </si>
  <si>
    <t>https://jonathan-harris.online/book/ai-in-agriculture-revolutionizing-farming-for-a-sustainable-future/buy-now</t>
  </si>
  <si>
    <t>B0DMN32J3Y</t>
  </si>
  <si>
    <t>https://images.jonathan-harris.online/ai-agriculture-farming-sustainable-webp</t>
  </si>
  <si>
    <t>ai-in-aviation-transforming-safety-and-sustainability</t>
  </si>
  <si>
    <t>https://jonathan-harris.online/ebooks/ai-in-aviation-transforming-safety-and-sustainability/</t>
  </si>
  <si>
    <t>https://jonathan-harris.online/book/ai-in-aviation-transforming-safety-and-sustainability/buy-now</t>
  </si>
  <si>
    <t>B0DMKTLMX6</t>
  </si>
  <si>
    <t>https://images.jonathan-harris.online/ai-aviation-safety-webp</t>
  </si>
  <si>
    <t>ai-in-education-reimagining-learning-for-every-student</t>
  </si>
  <si>
    <t>https://jonathan-harris.online/ebooks/ai-in-education-reimagining-learning-for-every-student/</t>
  </si>
  <si>
    <t>https://jonathan-harris.online/book/ai-in-education-reimagining-learning-for-every-student/buy-now</t>
  </si>
  <si>
    <t>B0DMKXWQDK</t>
  </si>
  <si>
    <t>https://images.jonathan-harris.online/ai-education-reimagining-learning-webp</t>
  </si>
  <si>
    <t>ai-in-maritime-revolutionizing-shipping-for-sustainability</t>
  </si>
  <si>
    <t>https://jonathan-harris.online/ebooks/ai-in-maritime-revolutionizing-shipping-for-sustainability/</t>
  </si>
  <si>
    <t>https://jonathan-harris.online/book/ai-in-maritime-revolutionizing-shipping-for-sustainability/buy-now</t>
  </si>
  <si>
    <t>B0DMMTGNDJ</t>
  </si>
  <si>
    <t>https://images.jonathan-harris.online/ai-maritime-shipping-webp</t>
  </si>
  <si>
    <t>ai-powered-smart-grid-revolutionizing-electricity-distribution-and-generation</t>
  </si>
  <si>
    <t>https://jonathan-harris.online/ebooks/ai-powered-smart-grid-revolutionizing-electricity-distribution-and-generation/</t>
  </si>
  <si>
    <t>https://jonathan-harris.online/book/ai-powered-smart-grid-revolutionizing-electricity-distribution-and-generation/buy-now</t>
  </si>
  <si>
    <t>B0DMKFZ3W3</t>
  </si>
  <si>
    <t>https://images.jonathan-harris.online/ai-smart-grid-electricity-webp</t>
  </si>
  <si>
    <t>ai-revolution-in-railways-modernizing-travel-for-a-smarter-future</t>
  </si>
  <si>
    <t>https://jonathan-harris.online/ebooks/ai-revolution-in-railways-modernizing-travel-for-a-smarter-future/</t>
  </si>
  <si>
    <t>https://jonathan-harris.online/book/ai-revolution-in-railways-modernizing-travel-for-a-smarter-future/buy-now</t>
  </si>
  <si>
    <t>B0DWM19MZH</t>
  </si>
  <si>
    <t>https://images.jonathan-harris.online/ai-revolution-railways-modernizing-webp</t>
  </si>
  <si>
    <t>artificial-intelligence-and-the-law-case-studies-and-future-trends</t>
  </si>
  <si>
    <t>https://jonathan-harris.online/ebooks/artificial-intelligence-and-the-law-case-studies-and-future-trends/</t>
  </si>
  <si>
    <t>https://jonathan-harris.online/book/artificial-intelligence-and-the-law-case-studies-and-future-trends/buy-now</t>
  </si>
  <si>
    <t>B0DQHTBSWJ</t>
  </si>
  <si>
    <t>https://images.jonathan-harris.online/artificial-intelligence-law-webp</t>
  </si>
  <si>
    <t>artificial-intelligence-for-cyber-security-a-practical-guide-to-data-breach-prevention</t>
  </si>
  <si>
    <t>https://jonathan-harris.online/ebooks/artificial-intelligence-for-cyber-security-a-practical-guide-to-data-breach-prevention/</t>
  </si>
  <si>
    <t>https://jonathan-harris.online/book/artificial-intelligence-for-cyber-security-a-practical-guide-to-data-breach-prevention/buy-now</t>
  </si>
  <si>
    <t>B0DN4GZZQ4</t>
  </si>
  <si>
    <t>https://images.jonathan-harris.online/artificial-intelligence-cyber-practical-webp</t>
  </si>
  <si>
    <t>artificial-intelligence-for-wildlife-conservation-revolutionizing-biodiversity-protection-through-technology</t>
  </si>
  <si>
    <t>https://jonathan-harris.online/ebooks/artificial-intelligence-for-wildlife-conservation-revolutionizing-biodiversity-protection-through-technology/</t>
  </si>
  <si>
    <t>https://jonathan-harris.online/book/artificial-intelligence-for-wildlife-conservation-revolutionizing-biodiversity-protection-through-technology/buy-now</t>
  </si>
  <si>
    <t>B0DQK6B53Z</t>
  </si>
  <si>
    <t>https://images.jonathan-harris.online/artificial-intelligence-wildlife-conservation-webp</t>
  </si>
  <si>
    <t>artificial-intelligence-in-banking-revolutionizing-finance-and-data-security</t>
  </si>
  <si>
    <t>https://jonathan-harris.online/ebooks/artificial-intelligence-in-banking-revolutionizing-finance-and-data-security/</t>
  </si>
  <si>
    <t>https://jonathan-harris.online/book/artificial-intelligence-in-banking-revolutionizing-finance-and-data-security/buy-now</t>
  </si>
  <si>
    <t>B0DML75B3C</t>
  </si>
  <si>
    <t>https://images.jonathan-harris.online/artificial-intelligence-banking-finance-webp</t>
  </si>
  <si>
    <t>artificial-intelligence-in-construction-building-a-sustainable-future</t>
  </si>
  <si>
    <t>https://jonathan-harris.online/ebooks/artificial-intelligence-in-construction-building-a-sustainable-future/</t>
  </si>
  <si>
    <t>https://jonathan-harris.online/book/artificial-intelligence-in-construction-building-a-sustainable-future/buy-now</t>
  </si>
  <si>
    <t>B0DMQMGLP4</t>
  </si>
  <si>
    <t>https://images.jonathan-harris.online/artificial-intelligence-construction-building-webp</t>
  </si>
  <si>
    <t>artificial-intelligence-in-industry-a-comprehensive-guide</t>
  </si>
  <si>
    <t>https://jonathan-harris.online/ebooks/artificial-intelligence-in-industry-a-comprehensive-guide/</t>
  </si>
  <si>
    <t>https://jonathan-harris.online/book/artificial-intelligence-in-industry-a-comprehensive-guide/buy-now</t>
  </si>
  <si>
    <t>B0DMV47ZRL</t>
  </si>
  <si>
    <t>https://images.jonathan-harris.online/artificial-intelligence-industry-comprehensive-webp</t>
  </si>
  <si>
    <t>artificial-intelligence-in-logistics-optimizing-efficiency-and-sustainability</t>
  </si>
  <si>
    <t>https://jonathan-harris.online/ebooks/artificial-intelligence-in-logistics-optimizing-efficiency-and-sustainability/</t>
  </si>
  <si>
    <t>https://jonathan-harris.online/book/artificial-intelligence-in-logistics-optimizing-efficiency-and-sustainability/buy-now</t>
  </si>
  <si>
    <t>B0DMQLK6LY</t>
  </si>
  <si>
    <t>https://images.jonathan-harris.online/artificial-intelligence-logistics-webp</t>
  </si>
  <si>
    <t>artificial-intelligence-in-pharmaceuticals-revolutionizing-healthcare</t>
  </si>
  <si>
    <t>https://jonathan-harris.online/ebooks/artificial-intelligence-in-pharmaceuticals-revolutionizing-healthcare/</t>
  </si>
  <si>
    <t>https://jonathan-harris.online/book/artificial-intelligence-in-pharmaceuticals-revolutionizing-healthcare/buy-now</t>
  </si>
  <si>
    <t>B0DN4XSLK9</t>
  </si>
  <si>
    <t>https://images.jonathan-harris.online/artificial-intelligence-pharmaceuticals-revolutionizing-healthcare-webp</t>
  </si>
  <si>
    <t>artificial-intelligence-in-sports-revolutionizing-performance-and-fan-engagement</t>
  </si>
  <si>
    <t>https://jonathan-harris.online/ebooks/artificial-intelligence-in-sports-revolutionizing-performance-and-fan-engagement/</t>
  </si>
  <si>
    <t>https://jonathan-harris.online/book/artificial-intelligence-in-sports-revolutionizing-performance-and-fan-engagement/buy-now</t>
  </si>
  <si>
    <t>B0DQFJ6XP5</t>
  </si>
  <si>
    <t>https://images.jonathan-harris.online/artificial-intelligence-sports-performance-webp</t>
  </si>
  <si>
    <t>artificial-intelligence-in-veterinary-medicine-transforming-animal-healthcare-through-innovation</t>
  </si>
  <si>
    <t>https://jonathan-harris.online/ebooks/artificial-intelligence-in-veterinary-medicine-transforming-animal-healthcare-through-innovation/</t>
  </si>
  <si>
    <t>https://jonathan-harris.online/book/artificial-intelligence-in-veterinary-medicine-transforming-animal-healthcare-through-innovation/buy-now</t>
  </si>
  <si>
    <t>B0DQK6C563</t>
  </si>
  <si>
    <t>https://images.jonathan-harris.online/artificial-intelligence-veterinary-medicine-webp</t>
  </si>
  <si>
    <t>artificial-intelligence-powered-retail-revolutionizing-customer-experience-for-a-sustainable-future</t>
  </si>
  <si>
    <t>https://jonathan-harris.online/ebooks/artificial-intelligence-powered-retail-revolutionizing-customer-experience-for-a-sustainable-future/</t>
  </si>
  <si>
    <t>https://jonathan-harris.online/book/artificial-intelligence-powered-retail-revolutionizing-customer-experience-for-a-sustainable-future/buy-now</t>
  </si>
  <si>
    <t>B0DMYHW17M</t>
  </si>
  <si>
    <t>https://images.jonathan-harris.online/artificial-intelligence-retail-customer-webp</t>
  </si>
  <si>
    <t>artificial-intelligence-revolution-in-manufacturing-modernizing-operations-maintenance-and-service-delivery</t>
  </si>
  <si>
    <t>https://jonathan-harris.online/ebooks/artificial-intelligence-revolution-in-manufacturing-modernizing-operations-maintenance-and-service-delivery/</t>
  </si>
  <si>
    <t>https://jonathan-harris.online/book/artificial-intelligence-revolution-in-manufacturing-modernizing-operations-maintenance-and-service-delivery/buy-now</t>
  </si>
  <si>
    <t>B0DMV2Q6TF</t>
  </si>
  <si>
    <t>https://images.jonathan-harris.online/artificial-intelligence-revolution-manufacturing-webp</t>
  </si>
  <si>
    <t>beyond-earth-how-ai-is-transforming-space-exploration</t>
  </si>
  <si>
    <t>https://jonathan-harris.online/ebooks/beyond-earth-how-ai-is-transforming-space-exploration/</t>
  </si>
  <si>
    <t>https://jonathan-harris.online/book/beyond-earth-how-ai-is-transforming-space-exploration/buy-now</t>
  </si>
  <si>
    <t>B0DY4Q2Q2D</t>
  </si>
  <si>
    <t>https://images.jonathan-harris.online/ai-earth-space-exploration-webp</t>
  </si>
  <si>
    <t>climate-intelligence-harnessing-ai-for-a-greener-future</t>
  </si>
  <si>
    <t>https://jonathan-harris.online/ebooks/climate-intelligence-harnessing-ai-for-a-greener-future/</t>
  </si>
  <si>
    <t>https://jonathan-harris.online/book/climate-intelligence-harnessing-ai-for-a-greener-future/buy-now</t>
  </si>
  <si>
    <t>B0DM72JZ44</t>
  </si>
  <si>
    <t>https://images.jonathan-harris.online/ai-climate-intelligence-greener-webp</t>
  </si>
  <si>
    <t>digital-defense-the-role-of-ai-in-modern-warfare</t>
  </si>
  <si>
    <t>https://jonathan-harris.online/ebooks/digital-defense-the-role-of-ai-in-modern-warfare/</t>
  </si>
  <si>
    <t>https://jonathan-harris.online/book/digital-defense-the-role-of-ai-in-modern-warfare/buy-now</t>
  </si>
  <si>
    <t>B0DM8256SL</t>
  </si>
  <si>
    <t>https://images.jonathan-harris.online/ai-digital-defense-modern-webp</t>
  </si>
  <si>
    <t>digital-diagnosis-how-ai-is-revolutionizing-healthcare</t>
  </si>
  <si>
    <t>https://jonathan-harris.online/ebooks/digital-diagnosis-how-ai-is-revolutionizing-healthcare/</t>
  </si>
  <si>
    <t>https://jonathan-harris.online/book/digital-diagnosis-how-ai-is-revolutionizing-healthcare/buy-now</t>
  </si>
  <si>
    <t>B0DM73FR3W</t>
  </si>
  <si>
    <t>https://images.jonathan-harris.online/ai-digital-diagnosis-healthcare-webp</t>
  </si>
  <si>
    <t>from-reporters-to-robots-how-ai-is-reshaping-journalism</t>
  </si>
  <si>
    <t>https://jonathan-harris.online/ebooks/from-reporters-to-robots-how-ai-is-reshaping-journalism/</t>
  </si>
  <si>
    <t>https://jonathan-harris.online/book/from-reporters-to-robots-how-ai-is-reshaping-journalism/buy-now</t>
  </si>
  <si>
    <t>B0DY4NP1WF</t>
  </si>
  <si>
    <t>https://images.jonathan-harris.online/ai-reporters-robots-reshaping-webp</t>
  </si>
  <si>
    <t>game-ai-unleashed-from-finite-state-machines-to-machine-learning</t>
  </si>
  <si>
    <t>https://jonathan-harris.online/ebooks/game-ai-unleashed-from-finite-state-machines-to-machine-learning/</t>
  </si>
  <si>
    <t>https://jonathan-harris.online/book/game-ai-unleashed-from-finite-state-machines-to-machine-learning/buy-now</t>
  </si>
  <si>
    <t>B0DY18CYT6</t>
  </si>
  <si>
    <t>https://images.jonathan-harris.online/ai-game-unleashed-finite-webp</t>
  </si>
  <si>
    <t>lights-camera-algorithm-ai-s-role-in-modern-filmmaking</t>
  </si>
  <si>
    <t>https://jonathan-harris.online/ebooks/lights-camera-algorithm-ai-s-role-in-modern-filmmaking/</t>
  </si>
  <si>
    <t>https://jonathan-harris.online/book/lights-camera-algorithm-ai-s-role-in-modern-filmmaking/buy-now</t>
  </si>
  <si>
    <t>B0DY672VRB</t>
  </si>
  <si>
    <t>https://images.jonathan-harris.online/lights-camera-algorithm-ais-webp</t>
  </si>
  <si>
    <t>smart-buildings-ai-powered-efficiency-and-sustainability</t>
  </si>
  <si>
    <t>https://jonathan-harris.online/ebooks/smart-buildings-ai-powered-efficiency-and-sustainability/</t>
  </si>
  <si>
    <t>https://jonathan-harris.online/book/smart-buildings-ai-powered-efficiency-and-sustainability/buy-now</t>
  </si>
  <si>
    <t>B0DMHBQVCR</t>
  </si>
  <si>
    <t>https://images.jonathan-harris.online/ai-smart-buildings-webp</t>
  </si>
  <si>
    <t>the-ai-behind-your-feed-personalization-moderation-and-the-future-of-social-media</t>
  </si>
  <si>
    <t>https://jonathan-harris.online/ebooks/the-ai-behind-your-feed-personalization-moderation-and-the-future-of-social-media/</t>
  </si>
  <si>
    <t>https://jonathan-harris.online/book/the-ai-behind-your-feed-personalization-moderation-and-the-future-of-social-media/buy-now</t>
  </si>
  <si>
    <t>B0DY12Z1SP</t>
  </si>
  <si>
    <t>https://images.jonathan-harris.online/ai-behind-your-feed-webp</t>
  </si>
  <si>
    <t>the-ai-music-revolution-creativity-controversy-and-collaboration</t>
  </si>
  <si>
    <t>https://jonathan-harris.online/ebooks/the-ai-music-revolution-creativity-controversy-and-collaboration/</t>
  </si>
  <si>
    <t>https://jonathan-harris.online/book/the-ai-music-revolution-creativity-controversy-and-collaboration/buy-now</t>
  </si>
  <si>
    <t>B0DY666TZJ</t>
  </si>
  <si>
    <t>https://images.jonathan-harris.online/ai-music-revolution-creativity-webp</t>
  </si>
  <si>
    <t>the-architects-of-ai-pioneers-breakthroughs-and-the-road-ahead</t>
  </si>
  <si>
    <t>https://jonathan-harris.online/ebooks/the-architects-of-ai-pioneers-breakthroughs-and-the-road-ahead/</t>
  </si>
  <si>
    <t>https://jonathan-harris.online/book/the-architects-of-ai-pioneers-breakthroughs-and-the-road-ahead/buy-now</t>
  </si>
  <si>
    <t>B0DY5MRT6K</t>
  </si>
  <si>
    <t>https://images.jonathan-harris.online/architects-ai_-pioneers_-breakthroughs_-webp</t>
  </si>
  <si>
    <t>the-artificial-intelligence-job-shift-navigating-the-future-of-work</t>
  </si>
  <si>
    <t>https://jonathan-harris.online/ebooks/the-artificial-intelligence-job-shift-navigating-the-future-of-work/</t>
  </si>
  <si>
    <t>https://jonathan-harris.online/book/the-artificial-intelligence-job-shift-navigating-the-future-of-work/buy-now</t>
  </si>
  <si>
    <t>B0DMQHQTQH</t>
  </si>
  <si>
    <t>https://images.jonathan-harris.online/artificial-intelligence-job-shift-webp</t>
  </si>
  <si>
    <t>the-artificial-intelligence-revolution-from-algorithms-to-consciousness</t>
  </si>
  <si>
    <t>https://jonathan-harris.online/ebooks/the-artificial-intelligence-revolution-from-algorithms-to-consciousness/</t>
  </si>
  <si>
    <t>https://jonathan-harris.online/book/the-artificial-intelligence-revolution-from-algorithms-to-consciousness/buy-now</t>
  </si>
  <si>
    <t>B0DMYF3YH3</t>
  </si>
  <si>
    <t>https://images.jonathan-harris.online/artificial-intelligence-revolution-algorithms-webp</t>
  </si>
  <si>
    <t>the-autonomous-revolution-artificial-intelligence-and-the-future-of-the-automotive-industry</t>
  </si>
  <si>
    <t>https://jonathan-harris.online/ebooks/the-autonomous-revolution-artificial-intelligence-and-the-future-of-the-automotive-industry/</t>
  </si>
  <si>
    <t>https://jonathan-harris.online/book/the-autonomous-revolution-artificial-intelligence-and-the-future-of-the-automotive-industry/buy-now</t>
  </si>
  <si>
    <t>B0DMYQV1LY</t>
  </si>
  <si>
    <t>https://images.jonathan-harris.online/autonomous-revolution-artificial-intelligence-webp</t>
  </si>
  <si>
    <t>the-dumbening-how-ai-is-reshaping-our-minds</t>
  </si>
  <si>
    <t>https://jonathan-harris.online/ebooks/the-dumbening-how-ai-is-reshaping-our-minds/</t>
  </si>
  <si>
    <t>https://jonathan-harris.online/book/the-dumbening-how-ai-is-reshaping-our-minds/buy-now</t>
  </si>
  <si>
    <t>B0DMMVN17Z</t>
  </si>
  <si>
    <t>https://images.jonathan-harris.online/ai-dumbening-reshaping-our-webp</t>
  </si>
  <si>
    <t>the-future-of-government-leveraging-ai-to-enhance-services-and-safeguard-information</t>
  </si>
  <si>
    <t>https://jonathan-harris.online/ebooks/the-future-of-government-leveraging-ai-to-enhance-services-and-safeguard-information/</t>
  </si>
  <si>
    <t>https://jonathan-harris.online/book/the-future-of-government-leveraging-ai-to-enhance-services-and-safeguard-information/buy-now</t>
  </si>
  <si>
    <t>B0DM74CRSD</t>
  </si>
  <si>
    <t>https://images.jonathan-harris.online/ai-government-enhance-services-webp</t>
  </si>
  <si>
    <t>the-house-always-knows-ai-gambling-and-the-ethics-of-personalized-gaming</t>
  </si>
  <si>
    <t>https://jonathan-harris.online/ebooks/the-house-always-knows-ai-gambling-and-the-ethics-of-personalized-gaming/</t>
  </si>
  <si>
    <t>https://jonathan-harris.online/book/the-house-always-knows-ai-gambling-and-the-ethics-of-personalized-gaming/buy-now</t>
  </si>
  <si>
    <t>B0DY4PSD8Z</t>
  </si>
  <si>
    <t>https://images.jonathan-harris.online/ai-house-always-knows-webp</t>
  </si>
  <si>
    <t>Title</t>
  </si>
  <si>
    <t>Short description</t>
  </si>
  <si>
    <t>Description</t>
  </si>
  <si>
    <t>Summary</t>
  </si>
  <si>
    <t>Topic</t>
  </si>
  <si>
    <t>Tags</t>
  </si>
  <si>
    <t>Keywords</t>
  </si>
  <si>
    <t>Audience</t>
  </si>
  <si>
    <t>Who this book is for</t>
  </si>
  <si>
    <t>What this book covers</t>
  </si>
  <si>
    <t>What you'll learn</t>
  </si>
  <si>
    <t>Why it matters</t>
  </si>
  <si>
    <t>Tone</t>
  </si>
  <si>
    <t>Author</t>
  </si>
  <si>
    <t>Identifier</t>
  </si>
  <si>
    <t>Manuscript filename</t>
  </si>
  <si>
    <t>Manuscript title observed</t>
  </si>
  <si>
    <t>Title alignment status</t>
  </si>
  <si>
    <t>AI and Formula 1: Redefining Speed and Strategy with Intelligent Technology</t>
  </si>
  <si>
    <t>A plain-English guide to AI in Formula 1, focused on practical use, trade-offs, and sharper questions.</t>
  </si>
  <si>
    <t>A guide to AI in Formula 1 — real-time strategy optimisation, predictive analytics, and how intelligent technology is transforming racing.</t>
  </si>
  <si>
    <t>A guide to AI in Formula 1 — real-time strategy optimisation, predictive analytics, and how intelligent technology is transforming racing. This book follows the workflows, trade-offs, and decision points shaping Formula 1, so readers can separate useful systems from glossy nonsense.</t>
  </si>
  <si>
    <t>Transportation</t>
  </si>
  <si>
    <t>Transportation | Artificial Intelligence | AI Trends | AI in Sports</t>
  </si>
  <si>
    <t>Transportation | AI and Formula 1: Redefining Speed and Strategy with Intelligent Technology | AI Trends | Artificial Intelligence | AI in Sports</t>
  </si>
  <si>
    <t>Readers who want a grounded, non-technical view of AI in Formula 1, including operators, planners, analysts, product teams, and readers tracking mobility systems.</t>
  </si>
  <si>
    <t>Best for people weighing real adoption choices in Formula 1. It is written for operators, planners, analysts, product teams, and readers tracking mobility systems who want practical context rather than brochure copy.</t>
  </si>
  <si>
    <t>It covers the main use cases, the workflow and data changes behind them, the claims worth taking seriously, and the governance questions that show up once AI starts steering decisions in Formula 1.</t>
  </si>
  <si>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</si>
  <si>
    <t>Because decisions in Formula 1 affect safety, throughput, reliability, and emissions. Once AI enters the loop, sloppy assumptions get expensive very quickly.</t>
  </si>
  <si>
    <t>Plain-English, practical, sceptical, no-hype</t>
  </si>
  <si>
    <t>Jonathan Harris</t>
  </si>
  <si>
    <t>JH-AI-EBOOK-01</t>
  </si>
  <si>
    <t>01. AI and Formula 1.pdf</t>
  </si>
  <si>
    <t>Aligned</t>
  </si>
  <si>
    <t>Artificial Intelligence in Veterinary Medicine: Transforming Animal Healthcare Through Innovation</t>
  </si>
  <si>
    <t>A grounded look at AI in Veterinary Medicine, covering what works, what wobbles, and what matters in practice.</t>
  </si>
  <si>
    <t>Artificial intelligence transforms veterinary care with diagnostic tools, predictive health monitoring, and personalized treatments.</t>
  </si>
  <si>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</si>
  <si>
    <t>Healthcare</t>
  </si>
  <si>
    <t>Healthcare | Artificial Intelligence | AI Trends</t>
  </si>
  <si>
    <t>Healthcare | Artificial Intelligence in Veterinary Medicine: Transforming Animal Healthcare Through Innovation | AI Trends | Artificial Intelligence</t>
  </si>
  <si>
    <t>A clear, no-hype briefing on AI in Veterinary Medicine for clinicians, healthcare managers, founders, analysts, and readers tracking care delivery.</t>
  </si>
  <si>
    <t>Written for clinicians, healthcare managers, founders, analysts, and readers tracking care delivery who need a clearer read on what AI can and cannot do in Veterinary Medicine, without wading through technical theatre.</t>
  </si>
  <si>
    <t>It maps the practical applications, the operational pinch points, the decision workflows, and the reliability questions that appear when AI moves from demo to deployment in Veterinary Medicine.</t>
  </si>
  <si>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</si>
  <si>
    <t>Veterinary Medicine is one of those areas where AI can help, but only if the claims survive contact with outcomes, safety, workload, and trust. That is where this book keeps its attention.</t>
  </si>
  <si>
    <t>JH-AI-EBOOK-17</t>
  </si>
  <si>
    <t>17. Artificial Intelligence in Veterinary Medicine.pdf</t>
  </si>
  <si>
    <t>AI-Powered Smart Grid: Revolutionizing Electricity Distribution and Generation</t>
  </si>
  <si>
    <t>A no-hype introduction to AI in Smart Grid, built around real applications, limits, and better judgement.</t>
  </si>
  <si>
    <t>Artificial intelligence optimizes smart grids, enhancing energy efficiency, predicting demand, and integrating renewables for sustainable electricity.</t>
  </si>
  <si>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</si>
  <si>
    <t>Energy</t>
  </si>
  <si>
    <t>Energy | Artificial Intelligence | AI Trends</t>
  </si>
  <si>
    <t>Energy | AI-Powered Smart Grid: Revolutionizing Electricity Distribution and Generation | AI Trends | Artificial Intelligence</t>
  </si>
  <si>
    <t>A practical overview of AI in Smart Grid for grid operators, infrastructure planners, policy teams, and readers tracking energy systems.</t>
  </si>
  <si>
    <t>Suits readers who want to understand how AI changes Smart Grid in practice, especially grid operators, infrastructure planners, policy teams, and readers tracking energy systems looking for grounded examples and fewer slogans.</t>
  </si>
  <si>
    <t>It shows where AI fits inside Smart Grid, what has to change underneath for it to work, where the risks hide, and which outcomes are realistic rather than merely well-marketed.</t>
  </si>
  <si>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</si>
  <si>
    <t>AI is not arriving in Smart Grid as a parlour trick. It changes how organisations handle grid reliability, cost, resilience, and decarbonisation, so the boring details matter more than the slogans.</t>
  </si>
  <si>
    <t>JH-AI-EBOOK-06</t>
  </si>
  <si>
    <t>07 .Revolutionizing Electricity Distribution and Generation.pdf</t>
  </si>
  <si>
    <t>Artificial Intelligence in Logistics: Transforming Supply Chains for Efficiency and Sustainability</t>
  </si>
  <si>
    <t>A plain-English guide to AI in Logistics, focused on practical use, trade-offs, and sharper questions.</t>
  </si>
  <si>
    <t>Artificial intelligence streamlines logistics with route optimization, demand forecasting, and automated warehousing, reducing costs.</t>
  </si>
  <si>
    <t>Artificial intelligence streamlines logistics with route optimization, demand forecasting, and automated warehousing, reducing costs. This book follows the workflows, trade-offs, and decision points shaping Logistics, so readers can separate useful systems from glossy nonsense.</t>
  </si>
  <si>
    <t>Transportation | Artificial Intelligence | AI Trends</t>
  </si>
  <si>
    <t>Transportation | Artificial Intelligence in Logistics: Transforming Supply Chains for Efficiency and Sustainability | AI Trends | Artificial Intelligence</t>
  </si>
  <si>
    <t>Readers who want a grounded, non-technical view of AI in Logistics, including operators, planners, analysts, product teams, and readers tracking mobility systems.</t>
  </si>
  <si>
    <t>Best for people weighing real adoption choices in Logistics. It is written for operators, planners, analysts, product teams, and readers tracking mobility systems who want practical context rather than brochure copy.</t>
  </si>
  <si>
    <t>It covers the main use cases, the workflow and data changes behind them, the claims worth taking seriously, and the governance questions that show up once AI starts steering decisions in Logistics.</t>
  </si>
  <si>
    <t>Because decisions in Logistics affect safety, throughput, reliability, and emissions. Once AI enters the loop, sloppy assumptions get expensive very quickly.</t>
  </si>
  <si>
    <t>JH-AI-EBOOK-14</t>
  </si>
  <si>
    <t>14. Artificial Intelligence in Logistics.pdf</t>
  </si>
  <si>
    <t>Artificial Intelligence and the Law: Case Studies, Challenges, and Future Trends</t>
  </si>
  <si>
    <t>A grounded look at AI in law, covering what works, what wobbles, and what matters in practice.</t>
  </si>
  <si>
    <t>Explores AI's impact on legal practice through case studies, ethical dilemmas, and future trends in automated contracts and judicial decisions.</t>
  </si>
  <si>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</si>
  <si>
    <t>Law</t>
  </si>
  <si>
    <t>Law | Artificial Intelligence | AI Trends</t>
  </si>
  <si>
    <t>Law | Artificial Intelligence and the Law: Case Studies, Challenges, and Future Trends | AI Trends | Artificial Intelligence</t>
  </si>
  <si>
    <t>A clear, no-hype briefing on AI in law for lawyers, compliance teams, policy readers, and anyone tracking legal change.</t>
  </si>
  <si>
    <t>Written for lawyers, compliance teams, policy readers, and anyone tracking legal change who need a clearer read on what AI can and cannot do in law, without wading through technical theatre.</t>
  </si>
  <si>
    <t>It maps the practical applications, the operational pinch points, the decision workflows, and the reliability questions that appear when AI moves from demo to deployment in law.</t>
  </si>
  <si>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</si>
  <si>
    <t>Law is one of those areas where AI can help, but only if the claims survive contact with fairness, due process, liability, and access to justice. That is where this book keeps its attention.</t>
  </si>
  <si>
    <t>JH-AI-EBOOK-08</t>
  </si>
  <si>
    <t>08. Artificial Intelligence and the Law.pdf</t>
  </si>
  <si>
    <t>Artificial Intelligence for Cyber Security: A Practical Guide to Data Breach Prevention</t>
  </si>
  <si>
    <t>A no-hype introduction to AI in Cyber Security, built around real applications, limits, and better judgement.</t>
  </si>
  <si>
    <t>A guide to using artificial intelligence for cybersecurity, using machine learning to detect threats, prevent breaches, and enhance data protection.</t>
  </si>
  <si>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</si>
  <si>
    <t>Cyber Security</t>
  </si>
  <si>
    <t>Cyber Security | Artificial Intelligence | AI Trends</t>
  </si>
  <si>
    <t>Cyber Security | Artificial Intelligence for Cyber Security: A Practical Guide to Data Breach Prevention | AI Trends | Artificial Intelligence</t>
  </si>
  <si>
    <t>A practical overview of AI in Cyber Security for security teams, risk managers, founders, and readers tracking digital defence.</t>
  </si>
  <si>
    <t>Suits readers who want to understand how AI changes Cyber Security in practice, especially security teams, risk managers, founders, and readers tracking digital defence looking for grounded examples and fewer slogans.</t>
  </si>
  <si>
    <t>It shows where AI fits inside Cyber Security, what has to change underneath for it to work, where the risks hide, and which outcomes are realistic rather than merely well-marketed.</t>
  </si>
  <si>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</si>
  <si>
    <t>AI is not arriving in Cyber Security as a parlour trick. It changes how organisations handle breach risk, response speed, and resilience, so the boring details matter more than the slogans.</t>
  </si>
  <si>
    <t>JH-AI-EBOOK-09</t>
  </si>
  <si>
    <t>09. Artificial Intelligence of cyber security.pdf</t>
  </si>
  <si>
    <t>Artificial Intelligence for Cyber Security: Protecting Digital Assets with AI Innovation</t>
  </si>
  <si>
    <t>Workbook retained as canonical; align manuscript title page on next revision</t>
  </si>
  <si>
    <t>The Artificial Intelligence Revolution: From Algorithms to Consciousness</t>
  </si>
  <si>
    <t>A plain-English guide to AI in artificial intelligence itself, focused on practical use, trade-offs, and sharper questions.</t>
  </si>
  <si>
    <t>Chronicles AI's evolution from basic algorithms to potential consciousness, exploring its technological, ethical, and societal implications.</t>
  </si>
  <si>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</si>
  <si>
    <t>Artificial Intelligence</t>
  </si>
  <si>
    <t>Artificial Intelligence | AI Trends</t>
  </si>
  <si>
    <t>Artificial Intelligence | The Artificial Intelligence Revolution: From Algorithms to Consciousness | AI Trends</t>
  </si>
  <si>
    <t>Readers who want a grounded, non-technical view of AI in artificial intelligence itself, including AI-curious readers, strategists, students, and anyone trying to separate substance from theatre.</t>
  </si>
  <si>
    <t>Best for people weighing real adoption choices in artificial intelligence itself. It is written for AI-curious readers, strategists, students, and anyone trying to separate substance from theatre who want practical context rather than brochure copy.</t>
  </si>
  <si>
    <t>It covers the main use cases, the workflow and data changes behind them, the claims worth taking seriously, and the governance questions that show up once AI starts steering decisions in artificial intelligence itself.</t>
  </si>
  <si>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</si>
  <si>
    <t>Because decisions in artificial intelligence itself affect how people judge the technology in the first place. Once AI enters the loop, sloppy assumptions get expensive very quickly.</t>
  </si>
  <si>
    <t>JH-AI-EBOOK-32</t>
  </si>
  <si>
    <t>25. The Artificial Intelligence Revolution From Algorithms to Consciousness.pdf</t>
  </si>
  <si>
    <t>The Artificial Intelligence Revolution From Algorithms to Consciousness</t>
  </si>
  <si>
    <t>Minor punctuation/casing drift; workbook retained as canonical</t>
  </si>
  <si>
    <t>AI in Aviation: Transforming Safety and Sustainability</t>
  </si>
  <si>
    <t>A grounded look at AI in Aviation, covering what works, what wobbles, and what matters in practice.</t>
  </si>
  <si>
    <t>Artificial intelligence enhances aviation safety with predictive maintenance, air traffic optimization, and fuel-efficient flight.</t>
  </si>
  <si>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</si>
  <si>
    <t>Transportation | AI in Aviation: Transforming Safety and Sustainability | AI Trends | Artificial Intelligence</t>
  </si>
  <si>
    <t>A clear, no-hype briefing on AI in Aviation for operators, planners, analysts, product teams, and readers tracking mobility systems.</t>
  </si>
  <si>
    <t>Written for operators, planners, analysts, product teams, and readers tracking mobility systems who need a clearer read on what AI can and cannot do in Aviation, without wading through technical theatre.</t>
  </si>
  <si>
    <t>It maps the practical applications, the operational pinch points, the decision workflows, and the reliability questions that appear when AI moves from demo to deployment in Aviation.</t>
  </si>
  <si>
    <t>Aviation is one of those areas where AI can help, but only if the claims survive contact with safety, throughput, reliability, and emissions. That is where this book keeps its attention.</t>
  </si>
  <si>
    <t>JH-AI-EBOOK-03</t>
  </si>
  <si>
    <t>03. AI in Aviation.pdf</t>
  </si>
  <si>
    <t>AI in Maritime: Revolutionizing Shipping for Sustainability</t>
  </si>
  <si>
    <t>A no-hype introduction to AI in Maritime, built around real applications, limits, and better judgement.</t>
  </si>
  <si>
    <t>A guide to AI in maritime shipping — autonomous vessels, route optimisation, emissions tracking, and how intelligent technology is making global shipping more sustainable.</t>
  </si>
  <si>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</si>
  <si>
    <t>Transportation | AI in Maritime: Revolutionizing Shipping for Sustainability | AI Trends | Artificial Intelligence</t>
  </si>
  <si>
    <t>A practical overview of AI in Maritime for operators, planners, analysts, product teams, and readers tracking mobility systems.</t>
  </si>
  <si>
    <t>Suits readers who want to understand how AI changes Maritime in practice, especially operators, planners, analysts, product teams, and readers tracking mobility systems looking for grounded examples and fewer slogans.</t>
  </si>
  <si>
    <t>It shows where AI fits inside Maritime, what has to change underneath for it to work, where the risks hide, and which outcomes are realistic rather than merely well-marketed.</t>
  </si>
  <si>
    <t>AI is not arriving in Maritime as a parlour trick. It changes how organisations handle safety, throughput, reliability, and emissions, so the boring details matter more than the slogans.</t>
  </si>
  <si>
    <t>JH-AI-EBOOK-05</t>
  </si>
  <si>
    <t>05. AI in Maritime.pdf</t>
  </si>
  <si>
    <t>Artificial Intelligence in Pharmaceuticals: Revolutionizing Healthcare</t>
  </si>
  <si>
    <t>A plain-English guide to AI in Pharmaceuticals, focused on practical use, trade-offs, and sharper questions.</t>
  </si>
  <si>
    <t>Artificial intelligence accelerates drug discovery, optimizes clinical trials, and personalizes treatments.</t>
  </si>
  <si>
    <t>Artificial intelligence accelerates drug discovery, optimizes clinical trials, and personalizes treatments. This book follows the workflows, trade-offs, and decision points shaping Pharmaceuticals, so readers can separate useful systems from glossy nonsense.</t>
  </si>
  <si>
    <t>Healthcare | Artificial Intelligence in Pharmaceuticals: Revolutionizing Healthcare | AI Trends | Artificial Intelligence</t>
  </si>
  <si>
    <t>Readers who want a grounded, non-technical view of AI in Pharmaceuticals, including clinicians, healthcare managers, founders, analysts, and readers tracking care delivery.</t>
  </si>
  <si>
    <t>Best for people weighing real adoption choices in Pharmaceuticals. It is written for clinicians, healthcare managers, founders, analysts, and readers tracking care delivery who want practical context rather than brochure copy.</t>
  </si>
  <si>
    <t>It covers the main use cases, the workflow and data changes behind them, the claims worth taking seriously, and the governance questions that show up once AI starts steering decisions in Pharmaceuticals.</t>
  </si>
  <si>
    <t>Because decisions in Pharmaceuticals affect outcomes, safety, workload, and trust. Once AI enters the loop, sloppy assumptions get expensive very quickly.</t>
  </si>
  <si>
    <t>JH-AI-EBOOK-15</t>
  </si>
  <si>
    <t>15. Artificial intelligence in Pharmaceuticals.pdf</t>
  </si>
  <si>
    <t>Artificial intelligence in Pharmaceuticals: Revolutionizing Healthcare</t>
  </si>
  <si>
    <t>The Autonomous Revolution: Artificial Intelligence and the Future of the Automotive Industry</t>
  </si>
  <si>
    <t>A grounded look at AI in the automotive industry, covering what works, what wobbles, and what matters in practice.</t>
  </si>
  <si>
    <t>A guide to AI in the automotive industry — autonomous vehicles, predictive maintenance, smart manufacturing, and how artificial intelligence is reshaping personal mobility.</t>
  </si>
  <si>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</si>
  <si>
    <t>Transportation | The Autonomous Revolution: Artificial Intelligence and the Future of the Automotive Industry | AI Trends | Artificial Intelligence</t>
  </si>
  <si>
    <t>A clear, no-hype briefing on AI in the automotive industry for operators, planners, analysts, product teams, and readers tracking mobility systems.</t>
  </si>
  <si>
    <t>Written for operators, planners, analysts, product teams, and readers tracking mobility systems who need a clearer read on what AI can and cannot do in the automotive industry, without wading through technical theatre.</t>
  </si>
  <si>
    <t>It maps the practical applications, the operational pinch points, the decision workflows, and the reliability questions that appear when AI moves from demo to deployment in the automotive industry.</t>
  </si>
  <si>
    <t>The automotive industry is one of those areas where AI can help, but only if the claims survive contact with safety, throughput, reliability, and emissions. That is where this book keeps its attention.</t>
  </si>
  <si>
    <t>JH-AI-EBOOK-33</t>
  </si>
  <si>
    <t>26. The Autonomous Revolution.pdf</t>
  </si>
  <si>
    <t>Artificial Intelligence Powered Retail: Revolutionizing Customer Experience for a Sustainable Future</t>
  </si>
  <si>
    <t>A no-hype introduction to AI in Retail, built around real applications, limits, and better judgement.</t>
  </si>
  <si>
    <t>A guide to AI in retail — personalisation, inventory optimisation, sustainable supply chains, and how intelligent systems are transforming the customer experience.</t>
  </si>
  <si>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</si>
  <si>
    <t>Retail</t>
  </si>
  <si>
    <t>Retail | Artificial Intelligence | AI Trends</t>
  </si>
  <si>
    <t>Retail | Artificial Intelligence Powered Retail: Revolutionizing Customer Experience for a Sustainable Future | AI Trends | Artificial Intelligence</t>
  </si>
  <si>
    <t>A practical overview of AI in Retail for retail operators, ecommerce teams, merchandisers, and readers tracking customer experience.</t>
  </si>
  <si>
    <t>Suits readers who want to understand how AI changes Retail in practice, especially retail operators, ecommerce teams, merchandisers, and readers tracking customer experience looking for grounded examples and fewer slogans.</t>
  </si>
  <si>
    <t>It shows where AI fits inside Retail, what has to change underneath for it to work, where the risks hide, and which outcomes are realistic rather than merely well-marketed.</t>
  </si>
  <si>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</si>
  <si>
    <t>AI is not arriving in Retail as a parlour trick. It changes how organisations handle margin, customer trust, and operational efficiency, so the boring details matter more than the slogans.</t>
  </si>
  <si>
    <t>JH-AI-EBOOK-18</t>
  </si>
  <si>
    <t>18. Artificial Intelligence Powered Retail.pdf</t>
  </si>
  <si>
    <t>Artificial intelligence Powered Retail: Revolutionizing Customer Experience for a Sustainable Future</t>
  </si>
  <si>
    <t>Artificial Intelligence Revolution in Manufacturing: Modernizing Operations, Maintenance, and Service Delivery</t>
  </si>
  <si>
    <t>A plain-English guide to AI in Manufacturing, focused on practical use, trade-offs, and sharper questions.</t>
  </si>
  <si>
    <t>A guide to AI in manufacturing — predictive maintenance, automated production, optimised supply chains, and how intelligent operations are reshaping modern industry.</t>
  </si>
  <si>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</si>
  <si>
    <t>Manufacturing</t>
  </si>
  <si>
    <t>Manufacturing | Artificial Intelligence | AI Trends</t>
  </si>
  <si>
    <t>Manufacturing | Artificial Intelligence Revolution in Manufacturing: Modernizing Operations, Maintenance, and Service Delivery | AI Trends | Artificial Intelligence</t>
  </si>
  <si>
    <t>Readers who want a grounded, non-technical view of AI in Manufacturing, including operations leaders, plant teams, engineers, and readers tracking industrial automation.</t>
  </si>
  <si>
    <t>Best for people weighing real adoption choices in Manufacturing. It is written for operations leaders, plant teams, engineers, and readers tracking industrial automation who want practical context rather than brochure copy.</t>
  </si>
  <si>
    <t>It covers the main use cases, the workflow and data changes behind them, the claims worth taking seriously, and the governance questions that show up once AI starts steering decisions in Manufacturing.</t>
  </si>
  <si>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</si>
  <si>
    <t>Because decisions in Manufacturing affect uptime, throughput, quality, and worker safety. Once AI enters the loop, sloppy assumptions get expensive very quickly.</t>
  </si>
  <si>
    <t>JH-AI-EBOOK-19</t>
  </si>
  <si>
    <t>19. Artificial Intelligence Revolution in Manufacturing Modernizing.pdf</t>
  </si>
  <si>
    <t>Artificial Intelligence in Industry: A Comprehensive Guide</t>
  </si>
  <si>
    <t>A grounded look at AI in Industry, covering what works, what wobbles, and what matters in practice.</t>
  </si>
  <si>
    <t>A comprehensive guide to artificial intelligence applications across industries, covering automation, analytics, and ethical considerations.</t>
  </si>
  <si>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</si>
  <si>
    <t>Industry</t>
  </si>
  <si>
    <t>Industry | Artificial Intelligence | AI Trends</t>
  </si>
  <si>
    <t>Industry | Artificial Intelligence in Industry: A Comprehensive Guide | AI Trends | Artificial Intelligence</t>
  </si>
  <si>
    <t>A clear, no-hype briefing on AI in Industry for operations leaders, analysts, engineers, and readers tracking industrial change.</t>
  </si>
  <si>
    <t>Written for operations leaders, analysts, engineers, and readers tracking industrial change who need a clearer read on what AI can and cannot do in Industry, without wading through technical theatre.</t>
  </si>
  <si>
    <t>It maps the practical applications, the operational pinch points, the decision workflows, and the reliability questions that appear when AI moves from demo to deployment in Industry.</t>
  </si>
  <si>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</si>
  <si>
    <t>Industry is one of those areas where AI can help, but only if the claims survive contact with output, maintenance, labour, and reliability. That is where this book keeps its attention.</t>
  </si>
  <si>
    <t>JH-AI-EBOOK-13</t>
  </si>
  <si>
    <t>13. Artificial Intelligence in Industry.pdf</t>
  </si>
  <si>
    <t>The Dumbening: How AI is Reshaping Our Minds</t>
  </si>
  <si>
    <t>A no-hype introduction to how AI shapes attention and thinking, built around real applications, limits, and better judgement.</t>
  </si>
  <si>
    <t>Examines AI's impact on cognition, exploring how automation and digital reliance may alter human thinking, creativity, and decision-making.</t>
  </si>
  <si>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</si>
  <si>
    <t>Ethics</t>
  </si>
  <si>
    <t>Ethics | Artificial Intelligence | AI Trends</t>
  </si>
  <si>
    <t>Ethics | The Dumbening: How AI is Reshaping Our Minds | AI Trends | Artificial Intelligence</t>
  </si>
  <si>
    <t>A practical overview of how AI shapes attention and thinking for policy readers, educators, sceptics, and anyone thinking about AI's social consequences.</t>
  </si>
  <si>
    <t>Suits readers who want to understand how AI shapes attention and thinking in practice, especially policy readers, educators, sceptics, and anyone thinking about AI's social consequences looking for grounded examples and fewer slogans.</t>
  </si>
  <si>
    <t>It shows how AI affects attention and thinking, what has to change underneath for it to work, where the risks hide, and which outcomes are realistic rather than merely well-marketed.</t>
  </si>
  <si>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</si>
  <si>
    <t>AI is not just arriving as a parlour trick. It changes attention, judgement, autonomy, and social trust, so the boring details matter more than the slogans.</t>
  </si>
  <si>
    <t>JH-AI-EBOOK-34</t>
  </si>
  <si>
    <t>27. The Dumbening.pdf</t>
  </si>
  <si>
    <t>AI in Agriculture: Revolutionizing Farming for a Sustainable Future</t>
  </si>
  <si>
    <t>A plain-English guide to AI in Agriculture, focused on practical use, trade-offs, and sharper questions.</t>
  </si>
  <si>
    <t>Artificial intelligence transforms agriculture with precision farming, crop monitoring, and predictive analytics, enhancing yields and sustainability.</t>
  </si>
  <si>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</si>
  <si>
    <t>Agriculture</t>
  </si>
  <si>
    <t>Agriculture | Artificial Intelligence | AI Trends</t>
  </si>
  <si>
    <t>Agriculture | AI in Agriculture: Revolutionizing Farming for a Sustainable Future | AI Trends | Artificial Intelligence</t>
  </si>
  <si>
    <t>Readers who want a grounded, non-technical view of AI in Agriculture, including farm operators, ag-tech teams, sustainability readers, and policy-minded observers.</t>
  </si>
  <si>
    <t>Best for people weighing real adoption choices in Agriculture. It is written for farm operators, ag-tech teams, sustainability readers, and policy-minded observers who want practical context rather than brochure copy.</t>
  </si>
  <si>
    <t>It covers the main use cases, the workflow and data changes behind them, the claims worth taking seriously, and the governance questions that show up once AI starts steering decisions in Agriculture.</t>
  </si>
  <si>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</si>
  <si>
    <t>Because decisions in Agriculture affect yield, waste, labour pressure, and sustainability. Once AI enters the loop, sloppy assumptions get expensive very quickly.</t>
  </si>
  <si>
    <t>JH-AI-EBOOK-02</t>
  </si>
  <si>
    <t>02. AI in Agriculture.pdf</t>
  </si>
  <si>
    <t>AI in Education: Reimagining Learning for Every Student</t>
  </si>
  <si>
    <t>A grounded look at AI in Education, covering what works, what wobbles, and what matters in practice.</t>
  </si>
  <si>
    <t>Artificial intelligence personalizes education with adaptive learning, automated grading, and virtual tutors, making education accessible.</t>
  </si>
  <si>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</si>
  <si>
    <t>Education</t>
  </si>
  <si>
    <t>Education | Artificial Intelligence | AI Trends</t>
  </si>
  <si>
    <t>Education | AI in Education: Reimagining Learning for Every Student | AI Trends | Artificial Intelligence</t>
  </si>
  <si>
    <t>A clear, no-hype briefing on AI in Education for teachers, school leaders, edtech teams, and readers tracking classroom change.</t>
  </si>
  <si>
    <t>Written for teachers, school leaders, edtech teams, and readers tracking classroom change who need a clearer read on what AI can and cannot do in Education, without wading through technical theatre.</t>
  </si>
  <si>
    <t>It maps the practical applications, the operational pinch points, the decision workflows, and the reliability questions that appear when AI moves from demo to deployment in Education.</t>
  </si>
  <si>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</si>
  <si>
    <t>Education is one of those areas where AI can help, but only if the claims survive contact with student outcomes, teacher workload, and equity. That is where this book keeps its attention.</t>
  </si>
  <si>
    <t>JH-AI-EBOOK-04</t>
  </si>
  <si>
    <t>04. AI in Education.pdf</t>
  </si>
  <si>
    <t>Artificial Intelligence in Banking: Revolutionizing Finance and Data Security</t>
  </si>
  <si>
    <t>A no-hype introduction to AI in Banking, built around real applications, limits, and better judgement.</t>
  </si>
  <si>
    <t>A guide to AI in banking — from fraud detection and personalised services to secure data management and regulatory compliance.</t>
  </si>
  <si>
    <t>A guide to AI in banking — from fraud detection and personalised services to secure data management and regulatory compliance. The focus stays on how AI changes the day-to-day reality of Banking: the tooling, the judgement calls, and the parts that still need a human spine.</t>
  </si>
  <si>
    <t>Finance</t>
  </si>
  <si>
    <t>Finance | Artificial Intelligence | AI Trends</t>
  </si>
  <si>
    <t>Finance | Artificial Intelligence in Banking: Revolutionizing Finance and Data Security | AI Trends | Artificial Intelligence</t>
  </si>
  <si>
    <t>A practical overview of AI in Banking for bankers, risk teams, fintech readers, and anyone tracking financial infrastructure.</t>
  </si>
  <si>
    <t>Suits readers who want to understand how AI changes Banking in practice, especially bankers, risk teams, fintech readers, and anyone tracking financial infrastructure looking for grounded examples and fewer slogans.</t>
  </si>
  <si>
    <t>It shows where AI fits inside Banking, what has to change underneath for it to work, where the risks hide, and which outcomes are realistic rather than merely well-marketed.</t>
  </si>
  <si>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</si>
  <si>
    <t>AI is not arriving in Banking as a parlour trick. It changes how organisations handle risk, fraud, compliance, and customer trust, so the boring details matter more than the slogans.</t>
  </si>
  <si>
    <t>JH-AI-EBOOK-11</t>
  </si>
  <si>
    <t>11. Artificial Intelligence in Banking Revolutionizing Finance and Data Security.pdf</t>
  </si>
  <si>
    <t>Digital Diagnosis: How AI is Revolutionizing Healthcare</t>
  </si>
  <si>
    <t>A plain-English guide to AI in healthcare, focused on practical use, trade-offs, and sharper questions.</t>
  </si>
  <si>
    <t>Artificial intelligence transforms healthcare with diagnostic tools, predictive analytics, and personalized treatments, improving patient outcomes.</t>
  </si>
  <si>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</si>
  <si>
    <t>Healthcare | Digital Diagnosis: How AI is Revolutionizing Healthcare | AI Trends | Artificial Intelligence</t>
  </si>
  <si>
    <t>Readers who want a grounded, non-technical view of AI in healthcare, including clinicians, healthcare managers, founders, analysts, and readers tracking care delivery.</t>
  </si>
  <si>
    <t>Best for people weighing real adoption choices in healthcare. It is written for clinicians, healthcare managers, founders, analysts, and readers tracking care delivery who want practical context rather than brochure copy.</t>
  </si>
  <si>
    <t>It covers the main use cases, the workflow and data changes behind them, the claims worth taking seriously, and the governance questions that show up once AI starts steering decisions in healthcare.</t>
  </si>
  <si>
    <t>Because decisions in healthcare affect outcomes, safety, workload, and trust. Once AI enters the loop, sloppy assumptions get expensive very quickly.</t>
  </si>
  <si>
    <t>JH-AI-EBOOK-23</t>
  </si>
  <si>
    <t>22. Digital Diagnosis.pdf</t>
  </si>
  <si>
    <t>Artificial Intelligence in Construction: Building a Sustainable Future</t>
  </si>
  <si>
    <t>A grounded look at AI in Construction, covering what works, what wobbles, and what matters in practice.</t>
  </si>
  <si>
    <t>Artificial intelligence optimizes construction with project planning, safety monitoring, and sustainable design, reducing costs.</t>
  </si>
  <si>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</si>
  <si>
    <t>Construction</t>
  </si>
  <si>
    <t>Construction | Artificial Intelligence | AI Trends</t>
  </si>
  <si>
    <t>Construction | Artificial Intelligence in Construction: Building a Sustainable Future | AI Trends | Artificial Intelligence</t>
  </si>
  <si>
    <t>A clear, no-hype briefing on AI in Construction for developers, site managers, architects, and readers tracking the built environment.</t>
  </si>
  <si>
    <t>Written for developers, site managers, architects, and readers tracking the built environment who need a clearer read on what AI can and cannot do in Construction, without wading through technical theatre.</t>
  </si>
  <si>
    <t>It maps the practical applications, the operational pinch points, the decision workflows, and the reliability questions that appear when AI moves from demo to deployment in Construction.</t>
  </si>
  <si>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</si>
  <si>
    <t>Construction is one of those areas where AI can help, but only if the claims survive contact with cost, safety, scheduling, and energy use. That is where this book keeps its attention.</t>
  </si>
  <si>
    <t>JH-AI-EBOOK-12</t>
  </si>
  <si>
    <t>12. Artificial intelligence in Construction.pdf</t>
  </si>
  <si>
    <t>Artificial intelligence in Construction: Building a Sustainable Future</t>
  </si>
  <si>
    <t>The Artificial Intelligence Job Shift: Navigating the Future of Work</t>
  </si>
  <si>
    <t>A no-hype introduction to AI in the future of work, built around real applications, limits, and better judgement.</t>
  </si>
  <si>
    <t>Explores AI's impact on employment, offering strategies to navigate job automation, reskilling, and emerging career opportunities.</t>
  </si>
  <si>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</si>
  <si>
    <t>Future of Work</t>
  </si>
  <si>
    <t>Future of Work | Artificial Intelligence | AI Trends</t>
  </si>
  <si>
    <t>Future of Work | The Artificial Intelligence Job Shift: Navigating the Future of Work | AI Trends | Artificial Intelligence</t>
  </si>
  <si>
    <t>A practical overview of AI in the future of work for managers, workers, founders, and readers tracking labour-market change.</t>
  </si>
  <si>
    <t>Suits readers who want to understand how AI changes the future of work in practice, especially managers, workers, founders, and readers tracking labour-market change looking for grounded examples and fewer slogans.</t>
  </si>
  <si>
    <t>It shows where AI fits inside the future of work, what has to change underneath for it to work, where the risks hide, and which outcomes are realistic rather than merely well-marketed.</t>
  </si>
  <si>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</si>
  <si>
    <t>AI is not arriving in the future of work as a parlour trick. It changes how organisations handle jobs, skills, bargaining power, and organisational design, so the boring details matter more than the slogans.</t>
  </si>
  <si>
    <t>JH-AI-EBOOK-31</t>
  </si>
  <si>
    <t>24. The Artificial Intelligence Job Shift.pdf</t>
  </si>
  <si>
    <t>The Future of Government: Leveraging AI to Enhance Services and Safeguard Information</t>
  </si>
  <si>
    <t>A plain-English guide to AI in government, focused on practical use, trade-offs, and sharper questions.</t>
  </si>
  <si>
    <t>Artificial intelligence enhances government services with efficient administration, predictive analytics, and robust cybersecurity.</t>
  </si>
  <si>
    <t>Artificial intelligence enhances government services with efficient administration, predictive analytics, and robust cybersecurity. This book follows the workflows, trade-offs, and decision points shaping government, so readers can separate useful systems from glossy nonsense.</t>
  </si>
  <si>
    <t>Government</t>
  </si>
  <si>
    <t>Government | Artificial Intelligence | AI Trends</t>
  </si>
  <si>
    <t>Government | The Future of Government: Leveraging AI to Enhance Services and Safeguard Information | AI Trends | Artificial Intelligence</t>
  </si>
  <si>
    <t>Readers who want a grounded, non-technical view of AI in government, including public-sector leaders, policy teams, civic-tech readers, and anyone tracking state capacity.</t>
  </si>
  <si>
    <t>Best for people weighing real adoption choices in government. It is written for public-sector leaders, policy teams, civic-tech readers, and anyone tracking state capacity who want practical context rather than brochure copy.</t>
  </si>
  <si>
    <t>It covers the main use cases, the workflow and data changes behind them, the claims worth taking seriously, and the governance questions that show up once AI starts steering decisions in government.</t>
  </si>
  <si>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</si>
  <si>
    <t>Because decisions in government affect service quality, accountability, privacy, and public trust. Once AI enters the loop, sloppy assumptions get expensive very quickly.</t>
  </si>
  <si>
    <t>JH-AI-EBOOK-35</t>
  </si>
  <si>
    <t>28. The Future of Government.pdf</t>
  </si>
  <si>
    <t>Smart Buildings: AI-Powered Efficiency and Sustainability</t>
  </si>
  <si>
    <t>A grounded look at AI in smart buildings, covering what works, what wobbles, and what matters in practice.</t>
  </si>
  <si>
    <t>A guide to AI in smart buildings — automated energy management, predictive maintenance, occupant comfort systems, and how intelligent infrastructure reduces costs and carbon.</t>
  </si>
  <si>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</si>
  <si>
    <t>Construction | Smart Buildings: AI-Powered Efficiency and Sustainability | AI Trends | Artificial Intelligence</t>
  </si>
  <si>
    <t>A clear, no-hype briefing on AI in smart buildings for developers, site managers, architects, and readers tracking the built environment.</t>
  </si>
  <si>
    <t>Written for developers, site managers, architects, and readers tracking the built environment who need a clearer read on what AI can and cannot do in smart buildings, without wading through technical theatre.</t>
  </si>
  <si>
    <t>It maps the practical applications, the operational pinch points, the decision workflows, and the reliability questions that appear when AI moves from demo to deployment in smart buildings.</t>
  </si>
  <si>
    <t>Smart buildings is one of those areas where AI can help, but only if the claims survive contact with cost, safety, scheduling, and energy use. That is where this book keeps its attention.</t>
  </si>
  <si>
    <t>JH-AI-EBOOK-27</t>
  </si>
  <si>
    <t>23. Smart Buildings.pdf</t>
  </si>
  <si>
    <t>Digital Defense: The Role of AI in Modern Warfare</t>
  </si>
  <si>
    <t>A no-hype introduction to AI in modern warfare, built around real applications, limits, and better judgement.</t>
  </si>
  <si>
    <t>Artificial intelligence transforms warfare with autonomous drones, predictive intelligence, and cybersecurity, reshaping military strategy.</t>
  </si>
  <si>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</si>
  <si>
    <t>Defence</t>
  </si>
  <si>
    <t>Defence | Artificial Intelligence | AI Trends</t>
  </si>
  <si>
    <t>Defence | Digital Defense: The Role of AI in Modern Warfare | AI Trends | Artificial Intelligence</t>
  </si>
  <si>
    <t>A practical overview of AI in modern warfare for defence analysts, procurement teams, policy readers, and anyone tracking military technology.</t>
  </si>
  <si>
    <t>Suits readers who want to understand how AI changes modern warfare in practice, especially defence analysts, procurement teams, policy readers, and anyone tracking military technology looking for grounded examples and fewer slogans.</t>
  </si>
  <si>
    <t>It shows where AI fits inside modern warfare, what has to change underneath for it to work, where the risks hide, and which outcomes are realistic rather than merely well-marketed.</t>
  </si>
  <si>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</si>
  <si>
    <t>AI is not arriving in modern warfare as a parlour trick. It changes how organisations handle escalation risk, targeting, accountability, and resilience, so the boring details matter more than the slogans.</t>
  </si>
  <si>
    <t>JH-AI-EBOOK-22</t>
  </si>
  <si>
    <t>21. Digital Defense.pdf</t>
  </si>
  <si>
    <t>Artificial Intelligence for Wildlife Conservation: Revolutionizing Biodiversity Protection through Technology</t>
  </si>
  <si>
    <t>A plain-English guide to AI in Wildlife Conservation, focused on practical use, trade-offs, and sharper questions.</t>
  </si>
  <si>
    <t>A guide to AI in wildlife conservation — habitat monitoring, anti-poaching technology, species identification, and how data-driven tools are protecting biodiversity.</t>
  </si>
  <si>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</si>
  <si>
    <t>Environment</t>
  </si>
  <si>
    <t>Environment | Artificial Intelligence | AI Trends</t>
  </si>
  <si>
    <t>Environment | Artificial Intelligence for Wildlife Conservation: Revolutionizing Biodiversity Protection through Technology | AI Trends | Artificial Intelligence</t>
  </si>
  <si>
    <t>Readers who want a grounded, non-technical view of AI in Wildlife Conservation, including conservation teams, climate readers, policy staff, and sustainability-minded operators.</t>
  </si>
  <si>
    <t>Best for people weighing real adoption choices in Wildlife Conservation. It is written for conservation teams, climate readers, policy staff, and sustainability-minded operators who want practical context rather than brochure copy.</t>
  </si>
  <si>
    <t>It covers the main use cases, the workflow and data changes behind them, the claims worth taking seriously, and the governance questions that show up once AI starts steering decisions in Wildlife Conservation.</t>
  </si>
  <si>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</si>
  <si>
    <t>Because decisions in Wildlife Conservation affect biodiversity, emissions, climate resilience, and scarce resources. Once AI enters the loop, sloppy assumptions get expensive very quickly.</t>
  </si>
  <si>
    <t>JH-AI-EBOOK-10</t>
  </si>
  <si>
    <t>10. Artificial Intelligence for Wildlife.pdf</t>
  </si>
  <si>
    <t>Climate Intelligence: Harnessing AI for a Greener Future</t>
  </si>
  <si>
    <t>A grounded look at AI in climate and environmental strategy, covering what works, what wobbles, and what matters in practice.</t>
  </si>
  <si>
    <t>Artificial intelligence combats climate change with emissions tracking, renewable energy optimization, and predictive environmental modelling.</t>
  </si>
  <si>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</si>
  <si>
    <t>Environment | Climate Intelligence: Harnessing AI for a Greener Future | AI Trends | Artificial Intelligence</t>
  </si>
  <si>
    <t>A clear, no-hype briefing on AI in climate and environmental strategy for conservation teams, climate readers, policy staff, and sustainability-minded operators.</t>
  </si>
  <si>
    <t>Written for conservation teams, climate readers, policy staff, and sustainability-minded operators who need a clearer read on what AI can and cannot do in climate and environmental strategy, without wading through technical theatre.</t>
  </si>
  <si>
    <t>It maps the practical applications, the operational pinch points, the decision workflows, and the reliability questions that appear when AI moves from demo to deployment in climate and environmental strategy.</t>
  </si>
  <si>
    <t>Climate and environmental strategy is one of those areas where AI can help, but only if the claims survive contact with biodiversity, emissions, climate resilience, and scarce resources. That is where this book keeps its attention.</t>
  </si>
  <si>
    <t>JH-AI-EBOOK-21</t>
  </si>
  <si>
    <t>20. Climate Intelligence Harnessing AI for a Greener Future.pdf</t>
  </si>
  <si>
    <t>AI Revolution in Railways: Modernizing Travel for a Smarter Future</t>
  </si>
  <si>
    <t>A no-hype introduction to AI in AI Revolution in Railways, built around real applications, limits, and better judgement.</t>
  </si>
  <si>
    <t>Artificial intelligence modernizes railways with predictive maintenance, autonomous trains, and optimized scheduling, enhancing safety.</t>
  </si>
  <si>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</si>
  <si>
    <t>Transportation | AI Revolution in Railways: Modernizing Travel for a Smarter Future | AI Trends | Artificial Intelligence</t>
  </si>
  <si>
    <t>A practical overview of AI in AI Revolution in Railways for operators, planners, analysts, product teams, and readers tracking mobility systems.</t>
  </si>
  <si>
    <t>Suits readers who want to understand how AI changes AI Revolution in Railways in practice, especially operators, planners, analysts, product teams, and readers tracking mobility systems looking for grounded examples and fewer slogans.</t>
  </si>
  <si>
    <t>It shows where AI fits inside AI Revolution in Railways, what has to change underneath for it to work, where the risks hide, and which outcomes are realistic rather than merely well-marketed.</t>
  </si>
  <si>
    <t>AI is not arriving in AI Revolution in Railways as a parlour trick. It changes how organisations handle safety, throughput, reliability, and emissions, so the boring details matter more than the slogans.</t>
  </si>
  <si>
    <t>JH-AI-EBOOK-07</t>
  </si>
  <si>
    <t>06.AI Revolution in Railways.pdf</t>
  </si>
  <si>
    <t>Artificial Intelligence in Sports: Revolutionizing Performance and Fan Engagement</t>
  </si>
  <si>
    <t>A plain-English guide to AI in Sports, focused on practical use, trade-offs, and sharper questions.</t>
  </si>
  <si>
    <t>Artificial intelligence enhances sports with performance analytics, injury prevention, and immersive fan experiences.</t>
  </si>
  <si>
    <t>Artificial intelligence enhances sports with performance analytics, injury prevention, and immersive fan experiences. This book follows the workflows, trade-offs, and decision points shaping Sports, so readers can separate useful systems from glossy nonsense.</t>
  </si>
  <si>
    <t>Sports</t>
  </si>
  <si>
    <t>Sports | Artificial Intelligence | AI Trends</t>
  </si>
  <si>
    <t>Sports | Artificial Intelligence in Sports: Revolutionizing Performance and Fan Engagement | AI Trends | Artificial Intelligence</t>
  </si>
  <si>
    <t>Readers who want a grounded, non-technical view of AI in Sports, including coaches, analysts, operators, and fans who want the practical view.</t>
  </si>
  <si>
    <t>Best for people weighing real adoption choices in Sports. It is written for coaches, analysts, operators, and fans who want the practical view who want practical context rather than brochure copy.</t>
  </si>
  <si>
    <t>It covers the main use cases, the workflow and data changes behind them, the claims worth taking seriously, and the governance questions that show up once AI starts steering decisions in Sports.</t>
  </si>
  <si>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</si>
  <si>
    <t>Because decisions in Sports affect performance, injury risk, fan experience, and competitive fairness. Once AI enters the loop, sloppy assumptions get expensive very quickly.</t>
  </si>
  <si>
    <t>JH-AI-EBOOK-16</t>
  </si>
  <si>
    <t>16. Artificial Intelligence in Sports.pdf</t>
  </si>
  <si>
    <t>Lights, Camera, Algorithm: AI’s Role in Modern Filmmaking</t>
  </si>
  <si>
    <t>A grounded look at AI in filmmaking, covering what works, what wobbles, and what matters in practice.</t>
  </si>
  <si>
    <t>Artificial intelligence revolutionizes filmmaking with script analysis, visual effects, and personalized content, streamlining production.</t>
  </si>
  <si>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</si>
  <si>
    <t>Creativity</t>
  </si>
  <si>
    <t>Creativity | Artificial Intelligence | AI Trends</t>
  </si>
  <si>
    <t>Creativity | Lights, Camera, Algorithm: AI’s Role in Modern Filmmaking | AI Trends | Artificial Intelligence</t>
  </si>
  <si>
    <t>A clear, no-hype briefing on AI in filmmaking for creators, producers, editors, and readers tracking how tools reshape creative work.</t>
  </si>
  <si>
    <t>Written for creators, producers, editors, and readers tracking how tools reshape creative work who need a clearer read on what AI can and cannot do in filmmaking, without wading through technical theatre.</t>
  </si>
  <si>
    <t>It maps the practical applications, the operational pinch points, the decision workflows, and the reliability questions that appear when AI moves from demo to deployment in filmmaking.</t>
  </si>
  <si>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</si>
  <si>
    <t>Filmmaking is one of those areas where AI can help, but only if the claims survive contact with authorship, livelihoods, rights, and creative control. That is where this book keeps its attention.</t>
  </si>
  <si>
    <t>JH-AI-EBOOK-26</t>
  </si>
  <si>
    <t>36. Lights, Camera, Algorithm: AI's Role in Modern Filmmaking.pdf</t>
  </si>
  <si>
    <t>AI in Cinema: Content Creation &amp; Generation</t>
  </si>
  <si>
    <t>The AI Music Revolution: Creativity, Controversy, and Collaboration</t>
  </si>
  <si>
    <t>A no-hype introduction to AI in music, built around real applications, limits, and better judgement.</t>
  </si>
  <si>
    <t>Explores AI's role in music creation, from composition to production, addressing creativity, ethics, and collaboration.</t>
  </si>
  <si>
    <t>Explores AI's role in music creation, from composition to production, addressing creativity, ethics, and collaboration. The focus stays on how AI changes the day-to-day reality of music: the tooling, the judgement calls, and the parts that still need a human spine.</t>
  </si>
  <si>
    <t>Creativity | The AI Music Revolution: Creativity, Controversy, and Collaboration | AI Trends | Artificial Intelligence</t>
  </si>
  <si>
    <t>A practical overview of AI in music for creators, producers, editors, and readers tracking how tools reshape creative work.</t>
  </si>
  <si>
    <t>Suits readers who want to understand how AI changes music in practice, especially creators, producers, editors, and readers tracking how tools reshape creative work looking for grounded examples and fewer slogans.</t>
  </si>
  <si>
    <t>It shows where AI fits inside music, what has to change underneath for it to work, where the risks hide, and which outcomes are realistic rather than merely well-marketed.</t>
  </si>
  <si>
    <t>AI is not arriving in music as a parlour trick. It changes how organisations handle authorship, livelihoods, rights, and creative control, so the boring details matter more than the slogans.</t>
  </si>
  <si>
    <t>JH-AI-EBOOK-29</t>
  </si>
  <si>
    <t>35. The AI Music Revolution Creativity_ Controversy_ and Collaboration.pdf</t>
  </si>
  <si>
    <t>The Architects of AI: Pioneers, Breakthroughs, and the Road Ahead</t>
  </si>
  <si>
    <t>A plain-English guide to AI in the history of artificial intelligence, focused on practical use, trade-offs, and sharper questions.</t>
  </si>
  <si>
    <t>Chronicles AI's pioneers and breakthroughs, exploring the technology's history and future potential in shaping society.</t>
  </si>
  <si>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</si>
  <si>
    <t>History</t>
  </si>
  <si>
    <t>History | Artificial Intelligence | AI Trends</t>
  </si>
  <si>
    <t>History | The Architects of AI: Pioneers, Breakthroughs, and the Road Ahead | AI Trends | Artificial Intelligence</t>
  </si>
  <si>
    <t>Readers who want a grounded, non-technical view of AI in the history of artificial intelligence, including readers who want the backstory, the milestones, and the people behind the field.</t>
  </si>
  <si>
    <t>Best for people weighing real adoption choices in the history of artificial intelligence. It is written for readers who want the backstory, the milestones, and the people behind the field who want practical context rather than brochure copy.</t>
  </si>
  <si>
    <t>It covers the main use cases, the workflow and data changes behind them, the claims worth taking seriously, and the governance questions that show up once AI starts steering decisions in the history of artificial intelligence.</t>
  </si>
  <si>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</si>
  <si>
    <t>Because decisions in the history of artificial intelligence affect how we explain the field, credit its builders, and judge its turning points. Once AI enters the loop, sloppy assumptions get expensive very quickly.</t>
  </si>
  <si>
    <t>JH-AI-EBOOK-30</t>
  </si>
  <si>
    <t>34. The Architects of AI_ Pioneers_ Breakthroughs_ and the Road Ahead.pdf</t>
  </si>
  <si>
    <t>The House Always Knows: AI, Gambling, and the Ethics of Personalized Gaming</t>
  </si>
  <si>
    <t>A grounded look at AI in ai in gambling, covering what works, what wobbles, and what matters in practice.</t>
  </si>
  <si>
    <t>Examines AI's role in gambling, from personalized gaming to addiction risks, addressing ethical concerns and regulation.</t>
  </si>
  <si>
    <t>Examines AI's role in gambling, from personalized gaming to addiction risks, addressing ethical concerns and regulation. It looks at where AI is already earning its keep in ai in gambling, where the claims run ahead of the evidence, and what sensible adoption actually looks like.</t>
  </si>
  <si>
    <t>Ethics | Artificial Intelligence | AI Trends | Law</t>
  </si>
  <si>
    <t>Ethics | The House Always Knows: AI, Gambling, and the Ethics of Personalized Gaming | AI Trends | Artificial Intelligence | Law</t>
  </si>
  <si>
    <t>A clear, no-hype briefing on AI in ai in gambling for policy readers, educators, sceptics, and anyone thinking about AI's social consequences.</t>
  </si>
  <si>
    <t>Written for policy readers, educators, sceptics, and anyone thinking about AI's social consequences who need a clearer read on what AI can and cannot do in ai in gambling, without wading through technical theatre.</t>
  </si>
  <si>
    <t>It maps the practical applications, the operational pinch points, the decision workflows, and the reliability questions that appear when AI moves from demo to deployment in ai in gambling.</t>
  </si>
  <si>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</si>
  <si>
    <t>Ai in gambling is one of those areas where AI can help, but only if the claims survive contact with autonomy, fairness, consent, and social trust. That is where this book keeps its attention.</t>
  </si>
  <si>
    <t>JH-AI-EBOOK-36</t>
  </si>
  <si>
    <t>33. The House Always Knows_ AI_ Gambling_ and the Ethics of Personalized Gaming.pdf</t>
  </si>
  <si>
    <t>Beyond Earth: How AI is Transforming Space Exploration</t>
  </si>
  <si>
    <t>A no-hype introduction to AI in space exploration, built around real applications, limits, and better judgement.</t>
  </si>
  <si>
    <t>Artificial intelligence advances space exploration with autonomous rovers, data analysis, and mission planning.</t>
  </si>
  <si>
    <t>Artificial intelligence advances space exploration with autonomous rovers, data analysis, and mission planning. The focus stays on how AI changes the day-to-day reality of space exploration: the tooling, the judgement calls, and the parts that still need a human spine.</t>
  </si>
  <si>
    <t>Science</t>
  </si>
  <si>
    <t>Science | Artificial Intelligence | AI Trends</t>
  </si>
  <si>
    <t>Science | Beyond Earth: How AI is Transforming Space Exploration | AI Trends | Artificial Intelligence</t>
  </si>
  <si>
    <t>A practical overview of AI in space exploration for science readers, engineers, mission planners, and anyone tracking research-heavy systems.</t>
  </si>
  <si>
    <t>Suits readers who want to understand how AI changes space exploration in practice, especially science readers, engineers, mission planners, and anyone tracking research-heavy systems looking for grounded examples and fewer slogans.</t>
  </si>
  <si>
    <t>It shows where AI fits inside space exploration, what has to change underneath for it to work, where the risks hide, and which outcomes are realistic rather than merely well-marketed.</t>
  </si>
  <si>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</si>
  <si>
    <t>AI is not arriving in space exploration as a parlour trick. It changes how organisations handle mission risk, cost, discovery speed, and scientific return, so the boring details matter more than the slogans.</t>
  </si>
  <si>
    <t>JH-AI-EBOOK-20</t>
  </si>
  <si>
    <t>32. Beyond Earth How AI is Transforming Space Exploration-1.pdf</t>
  </si>
  <si>
    <t>From Reporters to Robots: How AI is Reshaping Journalism</t>
  </si>
  <si>
    <t>A plain-English guide to AI in journalism, focused on practical use, trade-offs, and sharper questions.</t>
  </si>
  <si>
    <t>Artificial intelligence transforms journalism with automated reporting, fact-checking, and personalized news, raising questions about bias and trust.</t>
  </si>
  <si>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</si>
  <si>
    <t>Media</t>
  </si>
  <si>
    <t>Media | Artificial Intelligence | AI Trends</t>
  </si>
  <si>
    <t>Media | From Reporters to Robots: How AI is Reshaping Journalism | AI Trends | Artificial Intelligence</t>
  </si>
  <si>
    <t>Readers who want a grounded, non-technical view of AI in journalism, including journalists, editors, platform teams, and readers tracking information systems.</t>
  </si>
  <si>
    <t>Best for people weighing real adoption choices in journalism. It is written for journalists, editors, platform teams, and readers tracking information systems who want practical context rather than brochure copy.</t>
  </si>
  <si>
    <t>It covers the main use cases, the workflow and data changes behind them, the claims worth taking seriously, and the governance questions that show up once AI starts steering decisions in journalism.</t>
  </si>
  <si>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</si>
  <si>
    <t>Because decisions in journalism affect information quality, moderation, incentives, and public trust. Once AI enters the loop, sloppy assumptions get expensive very quickly.</t>
  </si>
  <si>
    <t>JH-AI-EBOOK-24</t>
  </si>
  <si>
    <t>31. From Reporters to Robots How AI is Reshaping Journalism.pdf</t>
  </si>
  <si>
    <t>The AI Behind Your Feed: Personalization, Moderation, and the Future of Social Media</t>
  </si>
  <si>
    <t>A grounded look at AI in social media, covering what works, what wobbles, and what matters in practice.</t>
  </si>
  <si>
    <t>Explores AI's role in social media, from content personalization to moderation, and its impact on user experience and privacy.</t>
  </si>
  <si>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</si>
  <si>
    <t>Media | The AI Behind Your Feed: Personalization, Moderation, and the Future of Social Media | AI Trends | Artificial Intelligence</t>
  </si>
  <si>
    <t>A clear, no-hype briefing on AI in social media for journalists, editors, platform teams, and readers tracking information systems.</t>
  </si>
  <si>
    <t>Written for journalists, editors, platform teams, and readers tracking information systems who need a clearer read on what AI can and cannot do in social media, without wading through technical theatre.</t>
  </si>
  <si>
    <t>It maps the practical applications, the operational pinch points, the decision workflows, and the reliability questions that appear when AI moves from demo to deployment in social media.</t>
  </si>
  <si>
    <t>Social media is one of those areas where AI can help, but only if the claims survive contact with information quality, moderation, incentives, and public trust. That is where this book keeps its attention.</t>
  </si>
  <si>
    <t>JH-AI-EBOOK-28</t>
  </si>
  <si>
    <t>30. The AI Behind Your Feed Personalization_ Moderation_ and the Future of Social Media.pdf</t>
  </si>
  <si>
    <t>Game AI Unleashed: From Finite State Machines to Machine Learning</t>
  </si>
  <si>
    <t>A no-hype introduction to AI in game development, built around real applications, limits, and better judgement.</t>
  </si>
  <si>
    <t>Chronicles AI's evolution in gaming, from simple state machines to advanced machine learning, enhancing gameplay and immersion.</t>
  </si>
  <si>
    <t>Chronicles AI's evolution in gaming, from simple state machines to advanced machine learning, enhancing gameplay and immersion. The focus stays on how AI changes the day-to-day reality of game development: the tooling, the judgement calls, and the parts that still need a human spine.</t>
  </si>
  <si>
    <t>Gaming</t>
  </si>
  <si>
    <t>Gaming | Artificial Intelligence | AI Trends</t>
  </si>
  <si>
    <t>Gaming | Game AI Unleashed: From Finite State Machines to Machine Learning | AI Trends | Artificial Intelligence</t>
  </si>
  <si>
    <t>A practical overview of AI in game development for game developers, designers, producers, and readers tracking interactive systems.</t>
  </si>
  <si>
    <t>Suits readers who want to understand how AI changes game development in practice, especially game developers, designers, producers, and readers tracking interactive systems looking for grounded examples and fewer slogans.</t>
  </si>
  <si>
    <t>It shows where AI fits inside game development, what has to change underneath for it to work, where the risks hide, and which outcomes are realistic rather than merely well-marketed.</t>
  </si>
  <si>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</si>
  <si>
    <t>AI is not arriving in game development as a parlour trick. It changes how organisations handle player experience, balance, monetisation, and design complexity, so the boring details matter more than the slogans.</t>
  </si>
  <si>
    <t>JH-AI-EBOOK-25</t>
  </si>
  <si>
    <t>29. Game AI Unleashed - From Finite State Machines to Machine Learning.pdf</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</si>
</sst>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17">
    <font>
      <sz val="11.0"/>
      <color theme="1"/>
      <name val="Calibri"/>
      <scheme val="minor"/>
    </font>
    <font>
      <b/>
      <color rgb="FFFFFFFF"/>
      <name val="Calibri"/>
      <scheme val="minor"/>
    </font>
    <font>
      <sz val="11.0"/>
      <color theme="1"/>
      <name val="Calibri"/>
    </font>
    <font>
      <b/>
      <color rgb="FFFFFFFF"/>
      <name val="Calibri"/>
    </font>
    <font>
      <color rgb="FF1F2937"/>
      <name val="Calibri"/>
    </font>
    <font>
      <sz val="10.0"/>
      <color theme="1"/>
      <name val="Consolas"/>
    </font>
    <font>
      <sz val="10.0"/>
      <color rgb="FF0F172A"/>
      <name val="Consolas"/>
    </font>
    <font>
      <u/>
      <sz val="10.0"/>
      <color rgb="FF065F46"/>
      <name val="Consolas"/>
    </font>
    <font>
      <sz val="10.0"/>
      <color rgb="FF1F2937"/>
      <name val="Consolas"/>
    </font>
    <font>
      <u/>
      <sz val="10.0"/>
      <color rgb="FF065F46"/>
      <name val="Consolas"/>
    </font>
    <font>
      <u/>
      <sz val="10.0"/>
      <color rgb="FF1F2937"/>
      <name val="Consolas"/>
    </font>
    <font>
      <u/>
      <sz val="10.0"/>
      <color rgb="FF1F2937"/>
      <name val="Consolas"/>
    </font>
    <font>
      <b/>
      <sz val="14.0"/>
      <color rgb="FFFFFFFF"/>
      <name val="Calibri"/>
    </font>
    <font/>
    <font>
      <b/>
      <color theme="1"/>
      <name val="Calibri"/>
    </font>
    <font>
      <u/>
      <sz val="11.0"/>
      <color theme="1"/>
      <name val="Calibri"/>
    </font>
    <font>
      <u/>
      <sz val="10.0"/>
      <color rgb="FF000000"/>
      <name val="Consolas"/>
    </font>
  </fonts>
  <fills count="9">
    <fill>
      <patternFill patternType="none"/>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theme="4"/>
        <bgColor theme="4"/>
      </patternFill>
    </fill>
    <fill>
      <patternFill patternType="solid">
        <fgColor rgb="FFDBE5F1"/>
        <bgColor rgb="FFDBE5F1"/>
      </patternFill>
    </fill>
    <fill>
      <patternFill patternType="solid">
        <fgColor theme="0"/>
        <bgColor theme="0"/>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borderId="0" fillId="0" fontId="0" numFmtId="0" applyAlignment="1" applyFont="1"/>
  </cellStyleXfs>
  <cellXfs count="39">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0" fontId="2" numFmtId="0" xfId="0" applyAlignment="1" applyFont="1">
      <alignment shrinkToFit="0" vertical="top" wrapText="1"/>
    </xf>
    <xf borderId="0" fillId="0" fontId="2" numFmtId="0" xfId="0" applyFont="1"/>
    <xf borderId="1" fillId="3" fontId="3" numFmtId="0" xfId="0" applyAlignment="1" applyBorder="1" applyFill="1" applyFont="1">
      <alignment horizontal="center" shrinkToFit="0" wrapText="1"/>
    </xf>
    <xf borderId="1" fillId="4" fontId="4" numFmtId="0" xfId="0" applyAlignment="1" applyBorder="1" applyFill="1" applyFont="1">
      <alignment horizontal="center" shrinkToFit="0" wrapText="1"/>
    </xf>
    <xf borderId="0" fillId="0" fontId="2" numFmtId="0" xfId="0" applyAlignment="1" applyFont="1">
      <alignment horizontal="center" shrinkToFit="0" wrapText="1"/>
    </xf>
    <xf borderId="2" fillId="5" fontId="3" numFmtId="0" xfId="0" applyAlignment="1" applyBorder="1" applyFill="1" applyFont="1">
      <alignment horizontal="center" shrinkToFit="0" vertical="center" wrapText="1"/>
    </xf>
    <xf borderId="3" fillId="6" fontId="5" numFmtId="0" xfId="0" applyAlignment="1" applyBorder="1" applyFill="1" applyFont="1">
      <alignment horizontal="center" shrinkToFit="0" vertical="top" wrapText="1"/>
    </xf>
    <xf borderId="3" fillId="6" fontId="6" numFmtId="0" xfId="0" applyAlignment="1" applyBorder="1" applyFont="1">
      <alignment horizontal="center" shrinkToFit="0" vertical="top" wrapText="1"/>
    </xf>
    <xf borderId="3" fillId="6" fontId="7" numFmtId="0" xfId="0" applyAlignment="1" applyBorder="1" applyFont="1">
      <alignment horizontal="center" shrinkToFit="0" vertical="top" wrapText="1"/>
    </xf>
    <xf borderId="3" fillId="6" fontId="2" numFmtId="0" xfId="0" applyAlignment="1" applyBorder="1" applyFont="1">
      <alignment horizontal="center" shrinkToFit="0" vertical="top" wrapText="1"/>
    </xf>
    <xf borderId="3" fillId="6" fontId="8" numFmtId="0" xfId="0" applyAlignment="1" applyBorder="1" applyFont="1">
      <alignment horizontal="center" shrinkToFit="0" vertical="top" wrapText="1"/>
    </xf>
    <xf borderId="3" fillId="6" fontId="2" numFmtId="1" xfId="0" applyAlignment="1" applyBorder="1" applyFont="1" applyNumberFormat="1">
      <alignment horizontal="center" shrinkToFit="0" vertical="top" wrapText="1"/>
    </xf>
    <xf borderId="3" fillId="6" fontId="2" numFmtId="164" xfId="0" applyAlignment="1" applyBorder="1" applyFont="1" applyNumberFormat="1">
      <alignment horizontal="center" shrinkToFit="0" vertical="top" wrapText="1"/>
    </xf>
    <xf borderId="3" fillId="7" fontId="5" numFmtId="0" xfId="0" applyAlignment="1" applyBorder="1" applyFill="1" applyFont="1">
      <alignment horizontal="center" shrinkToFit="0" vertical="top" wrapText="1"/>
    </xf>
    <xf borderId="3" fillId="7" fontId="6" numFmtId="0" xfId="0" applyAlignment="1" applyBorder="1" applyFont="1">
      <alignment horizontal="center" shrinkToFit="0" vertical="top" wrapText="1"/>
    </xf>
    <xf borderId="3" fillId="7" fontId="9" numFmtId="0" xfId="0" applyAlignment="1" applyBorder="1" applyFont="1">
      <alignment horizontal="center" shrinkToFit="0" vertical="top" wrapText="1"/>
    </xf>
    <xf borderId="3" fillId="7" fontId="2" numFmtId="0" xfId="0" applyAlignment="1" applyBorder="1" applyFont="1">
      <alignment horizontal="center" shrinkToFit="0" vertical="top" wrapText="1"/>
    </xf>
    <xf borderId="3" fillId="7" fontId="8" numFmtId="0" xfId="0" applyAlignment="1" applyBorder="1" applyFont="1">
      <alignment horizontal="center" shrinkToFit="0" vertical="top" wrapText="1"/>
    </xf>
    <xf borderId="3" fillId="7" fontId="2" numFmtId="0" xfId="0" applyAlignment="1" applyBorder="1" applyFont="1">
      <alignment horizontal="center" readingOrder="0" shrinkToFit="0" vertical="top" wrapText="1"/>
    </xf>
    <xf borderId="3" fillId="7" fontId="2" numFmtId="1" xfId="0" applyAlignment="1" applyBorder="1" applyFont="1" applyNumberFormat="1">
      <alignment horizontal="center" shrinkToFit="0" vertical="top" wrapText="1"/>
    </xf>
    <xf borderId="3" fillId="7" fontId="2" numFmtId="164" xfId="0" applyAlignment="1" applyBorder="1" applyFont="1" applyNumberFormat="1">
      <alignment horizontal="center" shrinkToFit="0" vertical="top" wrapText="1"/>
    </xf>
    <xf borderId="3" fillId="6" fontId="2" numFmtId="0" xfId="0" applyAlignment="1" applyBorder="1" applyFont="1">
      <alignment horizontal="center" readingOrder="0" shrinkToFit="0" vertical="top" wrapText="1"/>
    </xf>
    <xf borderId="3" fillId="7" fontId="10" numFmtId="0" xfId="0" applyAlignment="1" applyBorder="1" applyFont="1">
      <alignment horizontal="center" shrinkToFit="0" vertical="top" wrapText="1"/>
    </xf>
    <xf borderId="3" fillId="6" fontId="11" numFmtId="0" xfId="0" applyAlignment="1" applyBorder="1" applyFont="1">
      <alignment horizontal="center" shrinkToFit="0" vertical="top" wrapText="1"/>
    </xf>
    <xf borderId="4" fillId="3" fontId="12" numFmtId="0" xfId="0" applyBorder="1" applyFont="1"/>
    <xf borderId="5" fillId="0" fontId="13" numFmtId="0" xfId="0" applyBorder="1" applyFont="1"/>
    <xf borderId="6" fillId="0" fontId="13" numFmtId="0" xfId="0" applyBorder="1" applyFont="1"/>
    <xf borderId="3" fillId="4" fontId="14" numFmtId="0" xfId="0" applyBorder="1" applyFont="1"/>
    <xf borderId="3" fillId="8" fontId="15" numFmtId="0" xfId="0" applyBorder="1" applyFill="1" applyFont="1"/>
    <xf borderId="3" fillId="8" fontId="2" numFmtId="0" xfId="0" applyBorder="1" applyFont="1"/>
    <xf borderId="2" fillId="0" fontId="3" numFmtId="0" xfId="0" applyAlignment="1" applyBorder="1" applyFont="1">
      <alignment horizontal="center"/>
    </xf>
    <xf borderId="3" fillId="0" fontId="2" numFmtId="0" xfId="0" applyAlignment="1" applyBorder="1" applyFont="1">
      <alignment shrinkToFit="0" vertical="top" wrapText="1"/>
    </xf>
    <xf borderId="3" fillId="0" fontId="5" numFmtId="0" xfId="0" applyAlignment="1" applyBorder="1" applyFont="1">
      <alignment shrinkToFit="0" vertical="top" wrapText="1"/>
    </xf>
    <xf borderId="3" fillId="0" fontId="2" numFmtId="1" xfId="0" applyAlignment="1" applyBorder="1" applyFont="1" applyNumberFormat="1">
      <alignment shrinkToFit="0" vertical="top" wrapText="1"/>
    </xf>
    <xf borderId="3" fillId="0" fontId="2" numFmtId="164" xfId="0" applyAlignment="1" applyBorder="1" applyFont="1" applyNumberFormat="1">
      <alignment shrinkToFit="0" vertical="top" wrapText="1"/>
    </xf>
    <xf borderId="3" fillId="0" fontId="16" numFmtId="0" xfId="0" applyAlignment="1" applyBorder="1" applyFont="1">
      <alignment shrinkToFit="0" vertical="top" wrapText="1"/>
    </xf>
    <xf borderId="0" fillId="0" fontId="2" numFmtId="164" xfId="0" applyAlignment="1" applyFont="1" applyNumberForma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8.0"/>
    <col customWidth="1" min="2" max="2" width="116.0"/>
    <col customWidth="1" min="3" max="26" width="8.71"/>
  </cols>
  <sheetData>
    <row r="1">
      <c r="A1" s="1" t="s">
        <v>0</v>
      </c>
    </row>
    <row r="2">
      <c r="A2" s="1" t="s">
        <v>1</v>
      </c>
      <c r="B2" s="2" t="s">
        <v>2</v>
      </c>
    </row>
    <row r="3">
      <c r="A3" s="1" t="s">
        <v>3</v>
      </c>
      <c r="B3" s="2" t="s">
        <v>4</v>
      </c>
    </row>
    <row r="4">
      <c r="A4" s="1" t="s">
        <v>5</v>
      </c>
      <c r="B4" s="2" t="s">
        <v>6</v>
      </c>
    </row>
    <row r="5">
      <c r="A5" s="1" t="s">
        <v>7</v>
      </c>
      <c r="B5" s="2" t="s">
        <v>8</v>
      </c>
    </row>
    <row r="6">
      <c r="A6" s="1" t="s">
        <v>9</v>
      </c>
      <c r="B6" s="2" t="s">
        <v>10</v>
      </c>
    </row>
    <row r="7">
      <c r="A7" s="1" t="s">
        <v>11</v>
      </c>
      <c r="B7" s="2" t="s">
        <v>12</v>
      </c>
    </row>
    <row r="8">
      <c r="A8" s="1" t="s">
        <v>13</v>
      </c>
      <c r="B8" s="2" t="s">
        <v>14</v>
      </c>
    </row>
    <row r="9">
      <c r="A9" s="3"/>
      <c r="B9" s="3"/>
    </row>
    <row r="10">
      <c r="A10" s="3"/>
      <c r="B10" s="3"/>
    </row>
    <row r="11">
      <c r="A11" s="3"/>
      <c r="B11" s="3"/>
    </row>
    <row r="12">
      <c r="A12" s="3"/>
      <c r="B12" s="3"/>
    </row>
    <row r="13">
      <c r="A13" s="3"/>
      <c r="B13" s="3"/>
    </row>
    <row r="14">
      <c r="A14" s="3"/>
      <c r="B14" s="3"/>
    </row>
    <row r="15">
      <c r="A15" s="3"/>
      <c r="B15" s="3"/>
    </row>
    <row r="16">
      <c r="A16" s="3"/>
      <c r="B16" s="3"/>
    </row>
    <row r="17">
      <c r="A17" s="3"/>
      <c r="B17" s="3"/>
    </row>
    <row r="18">
      <c r="A18" s="3"/>
      <c r="B18" s="3"/>
    </row>
    <row r="19">
      <c r="A19" s="3"/>
      <c r="B19" s="3"/>
    </row>
    <row r="20">
      <c r="A20" s="3"/>
      <c r="B20" s="3"/>
    </row>
    <row r="21" ht="15.75" customHeight="1">
      <c r="A21" s="3"/>
      <c r="B21" s="3"/>
    </row>
    <row r="22" ht="15.75" customHeight="1">
      <c r="A22" s="3"/>
      <c r="B22" s="3"/>
    </row>
    <row r="23" ht="15.75" customHeight="1">
      <c r="A23" s="3"/>
      <c r="B23" s="3"/>
    </row>
    <row r="24" ht="15.75" customHeight="1">
      <c r="A24" s="3"/>
      <c r="B24" s="3"/>
    </row>
    <row r="25" ht="15.75" customHeight="1">
      <c r="A25" s="3"/>
      <c r="B25" s="3"/>
    </row>
    <row r="26" ht="15.75" customHeight="1">
      <c r="A26" s="3"/>
      <c r="B26" s="3"/>
    </row>
    <row r="27" ht="15.75" customHeight="1">
      <c r="A27" s="3"/>
      <c r="B27" s="3"/>
    </row>
    <row r="28" ht="15.75" customHeight="1">
      <c r="A28" s="3"/>
      <c r="B28" s="3"/>
    </row>
    <row r="29" ht="15.75" customHeight="1">
      <c r="A29" s="3"/>
      <c r="B29" s="3"/>
    </row>
    <row r="30" ht="15.75" customHeight="1">
      <c r="A30" s="3"/>
      <c r="B30" s="3"/>
    </row>
    <row r="31" ht="15.75" customHeight="1">
      <c r="A31" s="3"/>
      <c r="B31" s="3"/>
    </row>
    <row r="32" ht="15.75" customHeight="1">
      <c r="A32" s="3"/>
      <c r="B32" s="3"/>
    </row>
    <row r="33" ht="15.75" customHeight="1">
      <c r="A33" s="3"/>
      <c r="B33" s="3"/>
    </row>
    <row r="34" ht="15.75" customHeight="1">
      <c r="A34" s="3"/>
      <c r="B34" s="3"/>
    </row>
    <row r="35" ht="15.75" customHeight="1">
      <c r="A35" s="3"/>
      <c r="B35" s="3"/>
    </row>
    <row r="36" ht="15.75" customHeight="1">
      <c r="A36" s="3"/>
      <c r="B36" s="3"/>
    </row>
    <row r="37" ht="15.75" customHeight="1">
      <c r="A37" s="3"/>
      <c r="B37" s="3"/>
    </row>
    <row r="38" ht="15.75" customHeight="1">
      <c r="A38" s="3"/>
      <c r="B38" s="3"/>
    </row>
    <row r="39" ht="15.75" customHeight="1">
      <c r="A39" s="3"/>
      <c r="B39" s="3"/>
    </row>
    <row r="40" ht="15.75" customHeight="1">
      <c r="A40" s="3"/>
      <c r="B40" s="3"/>
    </row>
    <row r="41" ht="15.75" customHeight="1">
      <c r="A41" s="3"/>
      <c r="B41" s="3"/>
    </row>
    <row r="42" ht="15.75" customHeight="1">
      <c r="A42" s="3"/>
      <c r="B42" s="3"/>
    </row>
    <row r="43" ht="15.75" customHeight="1">
      <c r="A43" s="3"/>
      <c r="B43" s="3"/>
    </row>
    <row r="44" ht="15.75" customHeight="1">
      <c r="A44" s="3"/>
      <c r="B44" s="3"/>
    </row>
    <row r="45" ht="15.75" customHeight="1">
      <c r="A45" s="3"/>
      <c r="B45" s="3"/>
    </row>
    <row r="46" ht="15.75" customHeight="1">
      <c r="A46" s="3"/>
      <c r="B46" s="3"/>
    </row>
    <row r="47" ht="15.75" customHeight="1">
      <c r="A47" s="3"/>
      <c r="B47" s="3"/>
    </row>
    <row r="48" ht="15.75" customHeight="1">
      <c r="A48" s="3"/>
      <c r="B48" s="3"/>
    </row>
    <row r="49" ht="15.75" customHeight="1">
      <c r="A49" s="3"/>
      <c r="B49" s="3"/>
    </row>
    <row r="50" ht="15.75" customHeight="1">
      <c r="A50" s="3"/>
      <c r="B50" s="3"/>
    </row>
    <row r="51" ht="15.75" customHeight="1">
      <c r="A51" s="3"/>
      <c r="B51" s="3"/>
    </row>
    <row r="52" ht="15.75" customHeight="1">
      <c r="A52" s="3"/>
      <c r="B52" s="3"/>
    </row>
    <row r="53" ht="15.75" customHeight="1">
      <c r="A53" s="3"/>
      <c r="B53" s="3"/>
    </row>
    <row r="54" ht="15.75" customHeight="1">
      <c r="A54" s="3"/>
      <c r="B54" s="3"/>
    </row>
    <row r="55" ht="15.75" customHeight="1">
      <c r="A55" s="3"/>
      <c r="B55" s="3"/>
    </row>
    <row r="56" ht="15.75" customHeight="1">
      <c r="A56" s="3"/>
      <c r="B56" s="3"/>
    </row>
    <row r="57" ht="15.75" customHeight="1">
      <c r="A57" s="3"/>
      <c r="B57" s="3"/>
    </row>
    <row r="58" ht="15.75" customHeight="1">
      <c r="A58" s="3"/>
      <c r="B58" s="3"/>
    </row>
    <row r="59" ht="15.75" customHeight="1">
      <c r="A59" s="3"/>
      <c r="B59" s="3"/>
    </row>
    <row r="60" ht="15.75" customHeight="1">
      <c r="A60" s="3"/>
      <c r="B60" s="3"/>
    </row>
    <row r="61" ht="15.75" customHeight="1">
      <c r="A61" s="3"/>
      <c r="B61" s="3"/>
    </row>
    <row r="62" ht="15.75" customHeight="1">
      <c r="A62" s="3"/>
      <c r="B62" s="3"/>
    </row>
    <row r="63" ht="15.75" customHeight="1">
      <c r="A63" s="3"/>
      <c r="B63" s="3"/>
    </row>
    <row r="64" ht="15.75" customHeight="1">
      <c r="A64" s="3"/>
      <c r="B64" s="3"/>
    </row>
    <row r="65" ht="15.75" customHeight="1">
      <c r="A65" s="3"/>
      <c r="B65" s="3"/>
    </row>
    <row r="66" ht="15.75" customHeight="1">
      <c r="A66" s="3"/>
      <c r="B66" s="3"/>
    </row>
    <row r="67" ht="15.75" customHeight="1">
      <c r="A67" s="3"/>
      <c r="B67" s="3"/>
    </row>
    <row r="68" ht="15.75" customHeight="1">
      <c r="A68" s="3"/>
      <c r="B68" s="3"/>
    </row>
    <row r="69" ht="15.75" customHeight="1">
      <c r="A69" s="3"/>
      <c r="B69" s="3"/>
    </row>
    <row r="70" ht="15.75" customHeight="1">
      <c r="A70" s="3"/>
      <c r="B70" s="3"/>
    </row>
    <row r="71" ht="15.75" customHeight="1">
      <c r="A71" s="3"/>
      <c r="B71" s="3"/>
    </row>
    <row r="72" ht="15.75" customHeight="1">
      <c r="A72" s="3"/>
      <c r="B72" s="3"/>
    </row>
    <row r="73" ht="15.75" customHeight="1">
      <c r="A73" s="3"/>
      <c r="B73" s="3"/>
    </row>
    <row r="74" ht="15.75" customHeight="1">
      <c r="A74" s="3"/>
      <c r="B74" s="3"/>
    </row>
    <row r="75" ht="15.75" customHeight="1">
      <c r="A75" s="3"/>
      <c r="B75" s="3"/>
    </row>
    <row r="76" ht="15.75" customHeight="1">
      <c r="A76" s="3"/>
      <c r="B76" s="3"/>
    </row>
    <row r="77" ht="15.75" customHeight="1">
      <c r="A77" s="3"/>
      <c r="B77" s="3"/>
    </row>
    <row r="78" ht="15.75" customHeight="1">
      <c r="A78" s="3"/>
      <c r="B78" s="3"/>
    </row>
    <row r="79" ht="15.75" customHeight="1">
      <c r="A79" s="3"/>
      <c r="B79" s="3"/>
    </row>
    <row r="80" ht="15.75" customHeight="1">
      <c r="A80" s="3"/>
      <c r="B80" s="3"/>
    </row>
    <row r="81" ht="15.75" customHeight="1">
      <c r="A81" s="3"/>
      <c r="B81" s="3"/>
    </row>
    <row r="82" ht="15.75" customHeight="1">
      <c r="A82" s="3"/>
      <c r="B82" s="3"/>
    </row>
    <row r="83" ht="15.75" customHeight="1">
      <c r="A83" s="3"/>
      <c r="B83" s="3"/>
    </row>
    <row r="84" ht="15.75" customHeight="1">
      <c r="A84" s="3"/>
      <c r="B84" s="3"/>
    </row>
    <row r="85" ht="15.75" customHeight="1">
      <c r="A85" s="3"/>
      <c r="B85" s="3"/>
    </row>
    <row r="86" ht="15.75" customHeight="1">
      <c r="A86" s="3"/>
      <c r="B86" s="3"/>
    </row>
    <row r="87" ht="15.75" customHeight="1">
      <c r="A87" s="3"/>
      <c r="B87" s="3"/>
    </row>
    <row r="88" ht="15.75" customHeight="1">
      <c r="A88" s="3"/>
      <c r="B88" s="3"/>
    </row>
    <row r="89" ht="15.75" customHeight="1">
      <c r="A89" s="3"/>
      <c r="B89" s="3"/>
    </row>
    <row r="90" ht="15.75" customHeight="1">
      <c r="A90" s="3"/>
      <c r="B90" s="3"/>
    </row>
    <row r="91" ht="15.75" customHeight="1">
      <c r="A91" s="3"/>
      <c r="B91" s="3"/>
    </row>
    <row r="92" ht="15.75" customHeight="1">
      <c r="A92" s="3"/>
      <c r="B92" s="3"/>
    </row>
    <row r="93" ht="15.75" customHeight="1">
      <c r="A93" s="3"/>
      <c r="B93" s="3"/>
    </row>
    <row r="94" ht="15.75" customHeight="1">
      <c r="A94" s="3"/>
      <c r="B94" s="3"/>
    </row>
    <row r="95" ht="15.75" customHeight="1">
      <c r="A95" s="3"/>
      <c r="B95" s="3"/>
    </row>
    <row r="96" ht="15.75" customHeight="1">
      <c r="A96" s="3"/>
      <c r="B96" s="3"/>
    </row>
    <row r="97" ht="15.75" customHeight="1">
      <c r="A97" s="3"/>
      <c r="B97" s="3"/>
    </row>
    <row r="98" ht="15.75" customHeight="1">
      <c r="A98" s="3"/>
      <c r="B98" s="3"/>
    </row>
    <row r="99" ht="15.75" customHeight="1">
      <c r="A99" s="3"/>
      <c r="B99" s="3"/>
    </row>
    <row r="100" ht="15.75" customHeight="1">
      <c r="A100" s="3"/>
      <c r="B100" s="3"/>
    </row>
    <row r="101" ht="15.75" customHeight="1">
      <c r="A101" s="3"/>
      <c r="B101" s="3"/>
    </row>
    <row r="102" ht="15.75" customHeight="1">
      <c r="A102" s="3"/>
      <c r="B102" s="3"/>
    </row>
    <row r="103" ht="15.75" customHeight="1">
      <c r="A103" s="3"/>
      <c r="B103" s="3"/>
    </row>
    <row r="104" ht="15.75" customHeight="1">
      <c r="A104" s="3"/>
      <c r="B104" s="3"/>
    </row>
    <row r="105" ht="15.75" customHeight="1">
      <c r="A105" s="3"/>
      <c r="B105" s="3"/>
    </row>
    <row r="106" ht="15.75" customHeight="1">
      <c r="A106" s="3"/>
      <c r="B106" s="3"/>
    </row>
    <row r="107" ht="15.75" customHeight="1">
      <c r="A107" s="3"/>
      <c r="B107" s="3"/>
    </row>
    <row r="108" ht="15.75" customHeight="1">
      <c r="A108" s="3"/>
      <c r="B108" s="3"/>
    </row>
    <row r="109" ht="15.75" customHeight="1">
      <c r="A109" s="3"/>
      <c r="B109" s="3"/>
    </row>
    <row r="110" ht="15.75" customHeight="1">
      <c r="A110" s="3"/>
      <c r="B110" s="3"/>
    </row>
    <row r="111" ht="15.75" customHeight="1">
      <c r="A111" s="3"/>
      <c r="B111" s="3"/>
    </row>
    <row r="112" ht="15.75" customHeight="1">
      <c r="A112" s="3"/>
      <c r="B112" s="3"/>
    </row>
    <row r="113" ht="15.75" customHeight="1">
      <c r="A113" s="3"/>
      <c r="B113" s="3"/>
    </row>
    <row r="114" ht="15.75" customHeight="1">
      <c r="A114" s="3"/>
      <c r="B114" s="3"/>
    </row>
    <row r="115" ht="15.75" customHeight="1">
      <c r="A115" s="3"/>
      <c r="B115" s="3"/>
    </row>
    <row r="116" ht="15.75" customHeight="1">
      <c r="A116" s="3"/>
      <c r="B116" s="3"/>
    </row>
    <row r="117" ht="15.75" customHeight="1">
      <c r="A117" s="3"/>
      <c r="B117" s="3"/>
    </row>
    <row r="118" ht="15.75" customHeight="1">
      <c r="A118" s="3"/>
      <c r="B118" s="3"/>
    </row>
    <row r="119" ht="15.75" customHeight="1">
      <c r="A119" s="3"/>
      <c r="B119" s="3"/>
    </row>
    <row r="120" ht="15.75" customHeight="1">
      <c r="A120" s="3"/>
      <c r="B120" s="3"/>
    </row>
    <row r="121" ht="15.75" customHeight="1">
      <c r="A121" s="3"/>
      <c r="B121" s="3"/>
    </row>
    <row r="122" ht="15.75" customHeight="1">
      <c r="A122" s="3"/>
      <c r="B122" s="3"/>
    </row>
    <row r="123" ht="15.75" customHeight="1">
      <c r="A123" s="3"/>
      <c r="B123" s="3"/>
    </row>
    <row r="124" ht="15.75" customHeight="1">
      <c r="A124" s="3"/>
      <c r="B124" s="3"/>
    </row>
    <row r="125" ht="15.75" customHeight="1">
      <c r="A125" s="3"/>
      <c r="B125" s="3"/>
    </row>
    <row r="126" ht="15.75" customHeight="1">
      <c r="A126" s="3"/>
      <c r="B126" s="3"/>
    </row>
    <row r="127" ht="15.75" customHeight="1">
      <c r="A127" s="3"/>
      <c r="B127" s="3"/>
    </row>
    <row r="128" ht="15.75" customHeight="1">
      <c r="A128" s="3"/>
      <c r="B128" s="3"/>
    </row>
    <row r="129" ht="15.75" customHeight="1">
      <c r="A129" s="3"/>
      <c r="B129" s="3"/>
    </row>
    <row r="130" ht="15.75" customHeight="1">
      <c r="A130" s="3"/>
      <c r="B130" s="3"/>
    </row>
    <row r="131" ht="15.75" customHeight="1">
      <c r="A131" s="3"/>
      <c r="B131" s="3"/>
    </row>
    <row r="132" ht="15.75" customHeight="1">
      <c r="A132" s="3"/>
      <c r="B132" s="3"/>
    </row>
    <row r="133" ht="15.75" customHeight="1">
      <c r="A133" s="3"/>
      <c r="B133" s="3"/>
    </row>
    <row r="134" ht="15.75" customHeight="1">
      <c r="A134" s="3"/>
      <c r="B134" s="3"/>
    </row>
    <row r="135" ht="15.75" customHeight="1">
      <c r="A135" s="3"/>
      <c r="B135" s="3"/>
    </row>
    <row r="136" ht="15.75" customHeight="1">
      <c r="A136" s="3"/>
      <c r="B136" s="3"/>
    </row>
    <row r="137" ht="15.75" customHeight="1">
      <c r="A137" s="3"/>
      <c r="B137" s="3"/>
    </row>
    <row r="138" ht="15.75" customHeight="1">
      <c r="A138" s="3"/>
      <c r="B138" s="3"/>
    </row>
    <row r="139" ht="15.75" customHeight="1">
      <c r="A139" s="3"/>
      <c r="B139" s="3"/>
    </row>
    <row r="140" ht="15.75" customHeight="1">
      <c r="A140" s="3"/>
      <c r="B140" s="3"/>
    </row>
    <row r="141" ht="15.75" customHeight="1">
      <c r="A141" s="3"/>
      <c r="B141" s="3"/>
    </row>
    <row r="142" ht="15.75" customHeight="1">
      <c r="A142" s="3"/>
      <c r="B142" s="3"/>
    </row>
    <row r="143" ht="15.75" customHeight="1">
      <c r="A143" s="3"/>
      <c r="B143" s="3"/>
    </row>
    <row r="144" ht="15.75" customHeight="1">
      <c r="A144" s="3"/>
      <c r="B144" s="3"/>
    </row>
    <row r="145" ht="15.75" customHeight="1">
      <c r="A145" s="3"/>
      <c r="B145" s="3"/>
    </row>
    <row r="146" ht="15.75" customHeight="1">
      <c r="A146" s="3"/>
      <c r="B146" s="3"/>
    </row>
    <row r="147" ht="15.75" customHeight="1">
      <c r="A147" s="3"/>
      <c r="B147" s="3"/>
    </row>
    <row r="148" ht="15.75" customHeight="1">
      <c r="A148" s="3"/>
      <c r="B148" s="3"/>
    </row>
    <row r="149" ht="15.75" customHeight="1">
      <c r="A149" s="3"/>
      <c r="B149" s="3"/>
    </row>
    <row r="150" ht="15.75" customHeight="1">
      <c r="A150" s="3"/>
      <c r="B150" s="3"/>
    </row>
    <row r="151" ht="15.75" customHeight="1">
      <c r="A151" s="3"/>
      <c r="B151" s="3"/>
    </row>
    <row r="152" ht="15.75" customHeight="1">
      <c r="A152" s="3"/>
      <c r="B152" s="3"/>
    </row>
    <row r="153" ht="15.75" customHeight="1">
      <c r="A153" s="3"/>
      <c r="B153" s="3"/>
    </row>
    <row r="154" ht="15.75" customHeight="1">
      <c r="A154" s="3"/>
      <c r="B154" s="3"/>
    </row>
    <row r="155" ht="15.75" customHeight="1">
      <c r="A155" s="3"/>
      <c r="B155" s="3"/>
    </row>
    <row r="156" ht="15.75" customHeight="1">
      <c r="A156" s="3"/>
      <c r="B156" s="3"/>
    </row>
    <row r="157" ht="15.75" customHeight="1">
      <c r="A157" s="3"/>
      <c r="B157" s="3"/>
    </row>
    <row r="158" ht="15.75" customHeight="1">
      <c r="A158" s="3"/>
      <c r="B158" s="3"/>
    </row>
    <row r="159" ht="15.75" customHeight="1">
      <c r="A159" s="3"/>
      <c r="B159" s="3"/>
    </row>
    <row r="160" ht="15.75" customHeight="1">
      <c r="A160" s="3"/>
      <c r="B160" s="3"/>
    </row>
    <row r="161" ht="15.75" customHeight="1">
      <c r="A161" s="3"/>
      <c r="B161" s="3"/>
    </row>
    <row r="162" ht="15.75" customHeight="1">
      <c r="A162" s="3"/>
      <c r="B162" s="3"/>
    </row>
    <row r="163" ht="15.75" customHeight="1">
      <c r="A163" s="3"/>
      <c r="B163" s="3"/>
    </row>
    <row r="164" ht="15.75" customHeight="1">
      <c r="A164" s="3"/>
      <c r="B164" s="3"/>
    </row>
    <row r="165" ht="15.75" customHeight="1">
      <c r="A165" s="3"/>
      <c r="B165" s="3"/>
    </row>
    <row r="166" ht="15.75" customHeight="1">
      <c r="A166" s="3"/>
      <c r="B166" s="3"/>
    </row>
    <row r="167" ht="15.75" customHeight="1">
      <c r="A167" s="3"/>
      <c r="B167" s="3"/>
    </row>
    <row r="168" ht="15.75" customHeight="1">
      <c r="A168" s="3"/>
      <c r="B168" s="3"/>
    </row>
    <row r="169" ht="15.75" customHeight="1">
      <c r="A169" s="3"/>
      <c r="B169" s="3"/>
    </row>
    <row r="170" ht="15.75" customHeight="1">
      <c r="A170" s="3"/>
      <c r="B170" s="3"/>
    </row>
    <row r="171" ht="15.75" customHeight="1">
      <c r="A171" s="3"/>
      <c r="B171" s="3"/>
    </row>
    <row r="172" ht="15.75" customHeight="1">
      <c r="A172" s="3"/>
      <c r="B172" s="3"/>
    </row>
    <row r="173" ht="15.75" customHeight="1">
      <c r="A173" s="3"/>
      <c r="B173" s="3"/>
    </row>
    <row r="174" ht="15.75" customHeight="1">
      <c r="A174" s="3"/>
      <c r="B174" s="3"/>
    </row>
    <row r="175" ht="15.75" customHeight="1">
      <c r="A175" s="3"/>
      <c r="B175" s="3"/>
    </row>
    <row r="176" ht="15.75" customHeight="1">
      <c r="A176" s="3"/>
      <c r="B176" s="3"/>
    </row>
    <row r="177" ht="15.75" customHeight="1">
      <c r="A177" s="3"/>
      <c r="B177" s="3"/>
    </row>
    <row r="178" ht="15.75" customHeight="1">
      <c r="A178" s="3"/>
      <c r="B178" s="3"/>
    </row>
    <row r="179" ht="15.75" customHeight="1">
      <c r="A179" s="3"/>
      <c r="B179" s="3"/>
    </row>
    <row r="180" ht="15.75" customHeight="1">
      <c r="A180" s="3"/>
      <c r="B180" s="3"/>
    </row>
    <row r="181" ht="15.75" customHeight="1">
      <c r="A181" s="3"/>
      <c r="B181" s="3"/>
    </row>
    <row r="182" ht="15.75" customHeight="1">
      <c r="A182" s="3"/>
      <c r="B182" s="3"/>
    </row>
    <row r="183" ht="15.75" customHeight="1">
      <c r="A183" s="3"/>
      <c r="B183" s="3"/>
    </row>
    <row r="184" ht="15.75" customHeight="1">
      <c r="A184" s="3"/>
      <c r="B184" s="3"/>
    </row>
    <row r="185" ht="15.75" customHeight="1">
      <c r="A185" s="3"/>
      <c r="B185" s="3"/>
    </row>
    <row r="186" ht="15.75" customHeight="1">
      <c r="A186" s="3"/>
      <c r="B186" s="3"/>
    </row>
    <row r="187" ht="15.75" customHeight="1">
      <c r="A187" s="3"/>
      <c r="B187" s="3"/>
    </row>
    <row r="188" ht="15.75" customHeight="1">
      <c r="A188" s="3"/>
      <c r="B188" s="3"/>
    </row>
    <row r="189" ht="15.75" customHeight="1">
      <c r="A189" s="3"/>
      <c r="B189" s="3"/>
    </row>
    <row r="190" ht="15.75" customHeight="1">
      <c r="A190" s="3"/>
      <c r="B190" s="3"/>
    </row>
    <row r="191" ht="15.75" customHeight="1">
      <c r="A191" s="3"/>
      <c r="B191" s="3"/>
    </row>
    <row r="192" ht="15.75" customHeight="1">
      <c r="A192" s="3"/>
      <c r="B192" s="3"/>
    </row>
    <row r="193" ht="15.75" customHeight="1">
      <c r="A193" s="3"/>
      <c r="B193" s="3"/>
    </row>
    <row r="194" ht="15.75" customHeight="1">
      <c r="A194" s="3"/>
      <c r="B194" s="3"/>
    </row>
    <row r="195" ht="15.75" customHeight="1">
      <c r="A195" s="3"/>
      <c r="B195" s="3"/>
    </row>
    <row r="196" ht="15.75" customHeight="1">
      <c r="A196" s="3"/>
      <c r="B196" s="3"/>
    </row>
    <row r="197" ht="15.75" customHeight="1">
      <c r="A197" s="3"/>
      <c r="B197" s="3"/>
    </row>
    <row r="198" ht="15.75" customHeight="1">
      <c r="A198" s="3"/>
      <c r="B198" s="3"/>
    </row>
    <row r="199" ht="15.75" customHeight="1">
      <c r="A199" s="3"/>
      <c r="B199" s="3"/>
    </row>
    <row r="200" ht="15.75" customHeight="1">
      <c r="A200" s="3"/>
      <c r="B200" s="3"/>
    </row>
    <row r="201" ht="15.75" customHeight="1">
      <c r="A201" s="3"/>
      <c r="B201" s="3"/>
    </row>
    <row r="202" ht="15.75" customHeight="1">
      <c r="A202" s="3"/>
      <c r="B202" s="3"/>
    </row>
    <row r="203" ht="15.75" customHeight="1">
      <c r="A203" s="3"/>
      <c r="B203" s="3"/>
    </row>
    <row r="204" ht="15.75" customHeight="1">
      <c r="A204" s="3"/>
      <c r="B204" s="3"/>
    </row>
    <row r="205" ht="15.75" customHeight="1">
      <c r="A205" s="3"/>
      <c r="B205" s="3"/>
    </row>
    <row r="206" ht="15.75" customHeight="1">
      <c r="A206" s="3"/>
      <c r="B206" s="3"/>
    </row>
    <row r="207" ht="15.75" customHeight="1">
      <c r="A207" s="3"/>
      <c r="B207" s="3"/>
    </row>
    <row r="208" ht="15.75" customHeight="1">
      <c r="A208" s="3"/>
      <c r="B208" s="3"/>
    </row>
    <row r="209" ht="15.75" customHeight="1">
      <c r="A209" s="3"/>
      <c r="B209" s="3"/>
    </row>
    <row r="210" ht="15.75" customHeight="1">
      <c r="A210" s="3"/>
      <c r="B210" s="3"/>
    </row>
    <row r="211" ht="15.75" customHeight="1">
      <c r="A211" s="3"/>
      <c r="B211" s="3"/>
    </row>
    <row r="212" ht="15.75" customHeight="1">
      <c r="A212" s="3"/>
      <c r="B212" s="3"/>
    </row>
    <row r="213" ht="15.75" customHeight="1">
      <c r="A213" s="3"/>
      <c r="B213" s="3"/>
    </row>
    <row r="214" ht="15.75" customHeight="1">
      <c r="A214" s="3"/>
      <c r="B214" s="3"/>
    </row>
    <row r="215" ht="15.75" customHeight="1">
      <c r="A215" s="3"/>
      <c r="B215" s="3"/>
    </row>
    <row r="216" ht="15.75" customHeight="1">
      <c r="A216" s="3"/>
      <c r="B216" s="3"/>
    </row>
    <row r="217" ht="15.75" customHeight="1">
      <c r="A217" s="3"/>
      <c r="B217" s="3"/>
    </row>
    <row r="218" ht="15.75" customHeight="1">
      <c r="A218" s="3"/>
      <c r="B218" s="3"/>
    </row>
    <row r="219" ht="15.75" customHeight="1">
      <c r="A219" s="3"/>
      <c r="B219" s="3"/>
    </row>
    <row r="220" ht="15.75" customHeight="1">
      <c r="A220" s="3"/>
      <c r="B220" s="3"/>
    </row>
    <row r="221" ht="15.75" customHeight="1">
      <c r="A221" s="3"/>
      <c r="B221" s="3"/>
    </row>
    <row r="222" ht="15.75" customHeight="1">
      <c r="A222" s="3"/>
      <c r="B222" s="3"/>
    </row>
    <row r="223" ht="15.75" customHeight="1">
      <c r="A223" s="3"/>
      <c r="B223" s="3"/>
    </row>
    <row r="224" ht="15.75" customHeight="1">
      <c r="A224" s="3"/>
      <c r="B224" s="3"/>
    </row>
    <row r="225" ht="15.75" customHeight="1">
      <c r="A225" s="3"/>
      <c r="B225" s="3"/>
    </row>
    <row r="226" ht="15.75" customHeight="1">
      <c r="A226" s="3"/>
      <c r="B226" s="3"/>
    </row>
    <row r="227" ht="15.75" customHeight="1">
      <c r="A227" s="3"/>
      <c r="B227" s="3"/>
    </row>
    <row r="228" ht="15.75" customHeight="1">
      <c r="A228" s="3"/>
      <c r="B228" s="3"/>
    </row>
    <row r="229" ht="15.75" customHeight="1">
      <c r="A229" s="3"/>
      <c r="B229" s="3"/>
    </row>
    <row r="230" ht="15.75" customHeight="1">
      <c r="A230" s="3"/>
      <c r="B230" s="3"/>
    </row>
    <row r="231" ht="15.75" customHeight="1">
      <c r="A231" s="3"/>
      <c r="B231" s="3"/>
    </row>
    <row r="232" ht="15.75" customHeight="1">
      <c r="A232" s="3"/>
      <c r="B232" s="3"/>
    </row>
    <row r="233" ht="15.75" customHeight="1">
      <c r="A233" s="3"/>
      <c r="B233" s="3"/>
    </row>
    <row r="234" ht="15.75" customHeight="1">
      <c r="A234" s="3"/>
      <c r="B234" s="3"/>
    </row>
    <row r="235" ht="15.75" customHeight="1">
      <c r="A235" s="3"/>
      <c r="B235" s="3"/>
    </row>
    <row r="236" ht="15.75" customHeight="1">
      <c r="A236" s="3"/>
      <c r="B236" s="3"/>
    </row>
    <row r="237" ht="15.75" customHeight="1">
      <c r="A237" s="3"/>
      <c r="B237" s="3"/>
    </row>
    <row r="238" ht="15.75" customHeight="1">
      <c r="A238" s="3"/>
      <c r="B238" s="3"/>
    </row>
    <row r="239" ht="15.75" customHeight="1">
      <c r="A239" s="3"/>
      <c r="B239" s="3"/>
    </row>
    <row r="240" ht="15.75" customHeight="1">
      <c r="A240" s="3"/>
      <c r="B240" s="3"/>
    </row>
    <row r="241" ht="15.75" customHeight="1">
      <c r="A241" s="3"/>
      <c r="B241" s="3"/>
    </row>
    <row r="242" ht="15.75" customHeight="1">
      <c r="A242" s="3"/>
      <c r="B242" s="3"/>
    </row>
    <row r="243" ht="15.75" customHeight="1">
      <c r="A243" s="3"/>
      <c r="B243" s="3"/>
    </row>
    <row r="244" ht="15.75" customHeight="1">
      <c r="A244" s="3"/>
      <c r="B244" s="3"/>
    </row>
    <row r="245" ht="15.75" customHeight="1">
      <c r="A245" s="3"/>
      <c r="B245" s="3"/>
    </row>
    <row r="246" ht="15.75" customHeight="1">
      <c r="A246" s="3"/>
      <c r="B246" s="3"/>
    </row>
    <row r="247" ht="15.75" customHeight="1">
      <c r="A247" s="3"/>
      <c r="B247" s="3"/>
    </row>
    <row r="248" ht="15.75" customHeight="1">
      <c r="A248" s="3"/>
      <c r="B248" s="3"/>
    </row>
    <row r="249" ht="15.75" customHeight="1">
      <c r="A249" s="3"/>
      <c r="B249" s="3"/>
    </row>
    <row r="250" ht="15.75" customHeight="1">
      <c r="A250" s="3"/>
      <c r="B250" s="3"/>
    </row>
    <row r="251" ht="15.75" customHeight="1">
      <c r="A251" s="3"/>
      <c r="B251" s="3"/>
    </row>
    <row r="252" ht="15.75" customHeight="1">
      <c r="A252" s="3"/>
      <c r="B252" s="3"/>
    </row>
    <row r="253" ht="15.75" customHeight="1">
      <c r="A253" s="3"/>
      <c r="B253" s="3"/>
    </row>
    <row r="254" ht="15.75" customHeight="1">
      <c r="A254" s="3"/>
      <c r="B254" s="3"/>
    </row>
    <row r="255" ht="15.75" customHeight="1">
      <c r="A255" s="3"/>
      <c r="B255" s="3"/>
    </row>
    <row r="256" ht="15.75" customHeight="1">
      <c r="A256" s="3"/>
      <c r="B256" s="3"/>
    </row>
    <row r="257" ht="15.75" customHeight="1">
      <c r="A257" s="3"/>
      <c r="B257" s="3"/>
    </row>
    <row r="258" ht="15.75" customHeight="1">
      <c r="A258" s="3"/>
      <c r="B258" s="3"/>
    </row>
    <row r="259" ht="15.75" customHeight="1">
      <c r="A259" s="3"/>
      <c r="B259" s="3"/>
    </row>
    <row r="260" ht="15.75" customHeight="1">
      <c r="A260" s="3"/>
      <c r="B260" s="3"/>
    </row>
    <row r="261" ht="15.75" customHeight="1">
      <c r="A261" s="3"/>
      <c r="B261" s="3"/>
    </row>
    <row r="262" ht="15.75" customHeight="1">
      <c r="A262" s="3"/>
      <c r="B262" s="3"/>
    </row>
    <row r="263" ht="15.75" customHeight="1">
      <c r="A263" s="3"/>
      <c r="B263" s="3"/>
    </row>
    <row r="264" ht="15.75" customHeight="1">
      <c r="A264" s="3"/>
      <c r="B264" s="3"/>
    </row>
    <row r="265" ht="15.75" customHeight="1">
      <c r="A265" s="3"/>
      <c r="B265" s="3"/>
    </row>
    <row r="266" ht="15.75" customHeight="1">
      <c r="A266" s="3"/>
      <c r="B266" s="3"/>
    </row>
    <row r="267" ht="15.75" customHeight="1">
      <c r="A267" s="3"/>
      <c r="B267" s="3"/>
    </row>
    <row r="268" ht="15.75" customHeight="1">
      <c r="A268" s="3"/>
      <c r="B268" s="3"/>
    </row>
    <row r="269" ht="15.75" customHeight="1">
      <c r="A269" s="3"/>
      <c r="B269" s="3"/>
    </row>
    <row r="270" ht="15.75" customHeight="1">
      <c r="A270" s="3"/>
      <c r="B270" s="3"/>
    </row>
    <row r="271" ht="15.75" customHeight="1">
      <c r="A271" s="3"/>
      <c r="B271" s="3"/>
    </row>
    <row r="272" ht="15.75" customHeight="1">
      <c r="A272" s="3"/>
      <c r="B272" s="3"/>
    </row>
    <row r="273" ht="15.75" customHeight="1">
      <c r="A273" s="3"/>
      <c r="B273" s="3"/>
    </row>
    <row r="274" ht="15.75" customHeight="1">
      <c r="A274" s="3"/>
      <c r="B274" s="3"/>
    </row>
    <row r="275" ht="15.75" customHeight="1">
      <c r="A275" s="3"/>
      <c r="B275" s="3"/>
    </row>
    <row r="276" ht="15.75" customHeight="1">
      <c r="A276" s="3"/>
      <c r="B276" s="3"/>
    </row>
    <row r="277" ht="15.75" customHeight="1">
      <c r="A277" s="3"/>
      <c r="B277" s="3"/>
    </row>
    <row r="278" ht="15.75" customHeight="1">
      <c r="A278" s="3"/>
      <c r="B278" s="3"/>
    </row>
    <row r="279" ht="15.75" customHeight="1">
      <c r="A279" s="3"/>
      <c r="B279" s="3"/>
    </row>
    <row r="280" ht="15.75" customHeight="1">
      <c r="A280" s="3"/>
      <c r="B280" s="3"/>
    </row>
    <row r="281" ht="15.75" customHeight="1">
      <c r="A281" s="3"/>
      <c r="B281" s="3"/>
    </row>
    <row r="282" ht="15.75" customHeight="1">
      <c r="A282" s="3"/>
      <c r="B282" s="3"/>
    </row>
    <row r="283" ht="15.75" customHeight="1">
      <c r="A283" s="3"/>
      <c r="B283" s="3"/>
    </row>
    <row r="284" ht="15.75" customHeight="1">
      <c r="A284" s="3"/>
      <c r="B284" s="3"/>
    </row>
    <row r="285" ht="15.75" customHeight="1">
      <c r="A285" s="3"/>
      <c r="B285" s="3"/>
    </row>
    <row r="286" ht="15.75" customHeight="1">
      <c r="A286" s="3"/>
      <c r="B286" s="3"/>
    </row>
    <row r="287" ht="15.75" customHeight="1">
      <c r="A287" s="3"/>
      <c r="B287" s="3"/>
    </row>
    <row r="288" ht="15.75" customHeight="1">
      <c r="A288" s="3"/>
      <c r="B288" s="3"/>
    </row>
    <row r="289" ht="15.75" customHeight="1">
      <c r="A289" s="3"/>
      <c r="B289" s="3"/>
    </row>
    <row r="290" ht="15.75" customHeight="1">
      <c r="A290" s="3"/>
      <c r="B290" s="3"/>
    </row>
    <row r="291" ht="15.75" customHeight="1">
      <c r="A291" s="3"/>
      <c r="B291" s="3"/>
    </row>
    <row r="292" ht="15.75" customHeight="1">
      <c r="A292" s="3"/>
      <c r="B292" s="3"/>
    </row>
    <row r="293" ht="15.75" customHeight="1">
      <c r="A293" s="3"/>
      <c r="B293" s="3"/>
    </row>
    <row r="294" ht="15.75" customHeight="1">
      <c r="A294" s="3"/>
      <c r="B294" s="3"/>
    </row>
    <row r="295" ht="15.75" customHeight="1">
      <c r="A295" s="3"/>
      <c r="B295" s="3"/>
    </row>
    <row r="296" ht="15.75" customHeight="1">
      <c r="A296" s="3"/>
      <c r="B296" s="3"/>
    </row>
    <row r="297" ht="15.75" customHeight="1">
      <c r="A297" s="3"/>
      <c r="B297" s="3"/>
    </row>
    <row r="298" ht="15.75" customHeight="1">
      <c r="A298" s="3"/>
      <c r="B298" s="3"/>
    </row>
    <row r="299" ht="15.75" customHeight="1">
      <c r="A299" s="3"/>
      <c r="B299" s="3"/>
    </row>
    <row r="300" ht="15.75" customHeight="1">
      <c r="A300" s="3"/>
      <c r="B300" s="3"/>
    </row>
    <row r="301" ht="15.75" customHeight="1">
      <c r="A301" s="3"/>
      <c r="B301" s="3"/>
    </row>
    <row r="302" ht="15.75" customHeight="1">
      <c r="A302" s="3"/>
      <c r="B302" s="3"/>
    </row>
    <row r="303" ht="15.75" customHeight="1">
      <c r="A303" s="3"/>
      <c r="B303" s="3"/>
    </row>
    <row r="304" ht="15.75" customHeight="1">
      <c r="A304" s="3"/>
      <c r="B304" s="3"/>
    </row>
    <row r="305" ht="15.75" customHeight="1">
      <c r="A305" s="3"/>
      <c r="B305" s="3"/>
    </row>
    <row r="306" ht="15.75" customHeight="1">
      <c r="A306" s="3"/>
      <c r="B306" s="3"/>
    </row>
    <row r="307" ht="15.75" customHeight="1">
      <c r="A307" s="3"/>
      <c r="B307" s="3"/>
    </row>
    <row r="308" ht="15.75" customHeight="1">
      <c r="A308" s="3"/>
      <c r="B308" s="3"/>
    </row>
    <row r="309" ht="15.75" customHeight="1">
      <c r="A309" s="3"/>
      <c r="B309" s="3"/>
    </row>
    <row r="310" ht="15.75" customHeight="1">
      <c r="A310" s="3"/>
      <c r="B310" s="3"/>
    </row>
    <row r="311" ht="15.75" customHeight="1">
      <c r="A311" s="3"/>
      <c r="B311" s="3"/>
    </row>
    <row r="312" ht="15.75" customHeight="1">
      <c r="A312" s="3"/>
      <c r="B312" s="3"/>
    </row>
    <row r="313" ht="15.75" customHeight="1">
      <c r="A313" s="3"/>
      <c r="B313" s="3"/>
    </row>
    <row r="314" ht="15.75" customHeight="1">
      <c r="A314" s="3"/>
      <c r="B314" s="3"/>
    </row>
    <row r="315" ht="15.75" customHeight="1">
      <c r="A315" s="3"/>
      <c r="B315" s="3"/>
    </row>
    <row r="316" ht="15.75" customHeight="1">
      <c r="A316" s="3"/>
      <c r="B316" s="3"/>
    </row>
    <row r="317" ht="15.75" customHeight="1">
      <c r="A317" s="3"/>
      <c r="B317" s="3"/>
    </row>
    <row r="318" ht="15.75" customHeight="1">
      <c r="A318" s="3"/>
      <c r="B318" s="3"/>
    </row>
    <row r="319" ht="15.75" customHeight="1">
      <c r="A319" s="3"/>
      <c r="B319" s="3"/>
    </row>
    <row r="320" ht="15.75" customHeight="1">
      <c r="A320" s="3"/>
      <c r="B320" s="3"/>
    </row>
    <row r="321" ht="15.75" customHeight="1">
      <c r="A321" s="3"/>
      <c r="B321" s="3"/>
    </row>
    <row r="322" ht="15.75" customHeight="1">
      <c r="A322" s="3"/>
      <c r="B322" s="3"/>
    </row>
    <row r="323" ht="15.75" customHeight="1">
      <c r="A323" s="3"/>
      <c r="B323" s="3"/>
    </row>
    <row r="324" ht="15.75" customHeight="1">
      <c r="A324" s="3"/>
      <c r="B324" s="3"/>
    </row>
    <row r="325" ht="15.75" customHeight="1">
      <c r="A325" s="3"/>
      <c r="B325" s="3"/>
    </row>
    <row r="326" ht="15.75" customHeight="1">
      <c r="A326" s="3"/>
      <c r="B326" s="3"/>
    </row>
    <row r="327" ht="15.75" customHeight="1">
      <c r="A327" s="3"/>
      <c r="B327" s="3"/>
    </row>
    <row r="328" ht="15.75" customHeight="1">
      <c r="A328" s="3"/>
      <c r="B328" s="3"/>
    </row>
    <row r="329" ht="15.75" customHeight="1">
      <c r="A329" s="3"/>
      <c r="B329" s="3"/>
    </row>
    <row r="330" ht="15.75" customHeight="1">
      <c r="A330" s="3"/>
      <c r="B330" s="3"/>
    </row>
    <row r="331" ht="15.75" customHeight="1">
      <c r="A331" s="3"/>
      <c r="B331" s="3"/>
    </row>
    <row r="332" ht="15.75" customHeight="1">
      <c r="A332" s="3"/>
      <c r="B332" s="3"/>
    </row>
    <row r="333" ht="15.75" customHeight="1">
      <c r="A333" s="3"/>
      <c r="B333" s="3"/>
    </row>
    <row r="334" ht="15.75" customHeight="1">
      <c r="A334" s="3"/>
      <c r="B334" s="3"/>
    </row>
    <row r="335" ht="15.75" customHeight="1">
      <c r="A335" s="3"/>
      <c r="B335" s="3"/>
    </row>
    <row r="336" ht="15.75" customHeight="1">
      <c r="A336" s="3"/>
      <c r="B336" s="3"/>
    </row>
    <row r="337" ht="15.75" customHeight="1">
      <c r="A337" s="3"/>
      <c r="B337" s="3"/>
    </row>
    <row r="338" ht="15.75" customHeight="1">
      <c r="A338" s="3"/>
      <c r="B338" s="3"/>
    </row>
    <row r="339" ht="15.75" customHeight="1">
      <c r="A339" s="3"/>
      <c r="B339" s="3"/>
    </row>
    <row r="340" ht="15.75" customHeight="1">
      <c r="A340" s="3"/>
      <c r="B340" s="3"/>
    </row>
    <row r="341" ht="15.75" customHeight="1">
      <c r="A341" s="3"/>
      <c r="B341" s="3"/>
    </row>
    <row r="342" ht="15.75" customHeight="1">
      <c r="A342" s="3"/>
      <c r="B342" s="3"/>
    </row>
    <row r="343" ht="15.75" customHeight="1">
      <c r="A343" s="3"/>
      <c r="B343" s="3"/>
    </row>
    <row r="344" ht="15.75" customHeight="1">
      <c r="A344" s="3"/>
      <c r="B344" s="3"/>
    </row>
    <row r="345" ht="15.75" customHeight="1">
      <c r="A345" s="3"/>
      <c r="B345" s="3"/>
    </row>
    <row r="346" ht="15.75" customHeight="1">
      <c r="A346" s="3"/>
      <c r="B346" s="3"/>
    </row>
    <row r="347" ht="15.75" customHeight="1">
      <c r="A347" s="3"/>
      <c r="B347" s="3"/>
    </row>
    <row r="348" ht="15.75" customHeight="1">
      <c r="A348" s="3"/>
      <c r="B348" s="3"/>
    </row>
    <row r="349" ht="15.75" customHeight="1">
      <c r="A349" s="3"/>
      <c r="B349" s="3"/>
    </row>
    <row r="350" ht="15.75" customHeight="1">
      <c r="A350" s="3"/>
      <c r="B350" s="3"/>
    </row>
    <row r="351" ht="15.75" customHeight="1">
      <c r="A351" s="3"/>
      <c r="B351" s="3"/>
    </row>
    <row r="352" ht="15.75" customHeight="1">
      <c r="A352" s="3"/>
      <c r="B352" s="3"/>
    </row>
    <row r="353" ht="15.75" customHeight="1">
      <c r="A353" s="3"/>
      <c r="B353" s="3"/>
    </row>
    <row r="354" ht="15.75" customHeight="1">
      <c r="A354" s="3"/>
      <c r="B354" s="3"/>
    </row>
    <row r="355" ht="15.75" customHeight="1">
      <c r="A355" s="3"/>
      <c r="B355" s="3"/>
    </row>
    <row r="356" ht="15.75" customHeight="1">
      <c r="A356" s="3"/>
      <c r="B356" s="3"/>
    </row>
    <row r="357" ht="15.75" customHeight="1">
      <c r="A357" s="3"/>
      <c r="B357" s="3"/>
    </row>
    <row r="358" ht="15.75" customHeight="1">
      <c r="A358" s="3"/>
      <c r="B358" s="3"/>
    </row>
    <row r="359" ht="15.75" customHeight="1">
      <c r="A359" s="3"/>
      <c r="B359" s="3"/>
    </row>
    <row r="360" ht="15.75" customHeight="1">
      <c r="A360" s="3"/>
      <c r="B360" s="3"/>
    </row>
    <row r="361" ht="15.75" customHeight="1">
      <c r="A361" s="3"/>
      <c r="B361" s="3"/>
    </row>
    <row r="362" ht="15.75" customHeight="1">
      <c r="A362" s="3"/>
      <c r="B362" s="3"/>
    </row>
    <row r="363" ht="15.75" customHeight="1">
      <c r="A363" s="3"/>
      <c r="B363" s="3"/>
    </row>
    <row r="364" ht="15.75" customHeight="1">
      <c r="A364" s="3"/>
      <c r="B364" s="3"/>
    </row>
    <row r="365" ht="15.75" customHeight="1">
      <c r="A365" s="3"/>
      <c r="B365" s="3"/>
    </row>
    <row r="366" ht="15.75" customHeight="1">
      <c r="A366" s="3"/>
      <c r="B366" s="3"/>
    </row>
    <row r="367" ht="15.75" customHeight="1">
      <c r="A367" s="3"/>
      <c r="B367" s="3"/>
    </row>
    <row r="368" ht="15.75" customHeight="1">
      <c r="A368" s="3"/>
      <c r="B368" s="3"/>
    </row>
    <row r="369" ht="15.75" customHeight="1">
      <c r="A369" s="3"/>
      <c r="B369" s="3"/>
    </row>
    <row r="370" ht="15.75" customHeight="1">
      <c r="A370" s="3"/>
      <c r="B370" s="3"/>
    </row>
    <row r="371" ht="15.75" customHeight="1">
      <c r="A371" s="3"/>
      <c r="B371" s="3"/>
    </row>
    <row r="372" ht="15.75" customHeight="1">
      <c r="A372" s="3"/>
      <c r="B372" s="3"/>
    </row>
    <row r="373" ht="15.75" customHeight="1">
      <c r="A373" s="3"/>
      <c r="B373" s="3"/>
    </row>
    <row r="374" ht="15.75" customHeight="1">
      <c r="A374" s="3"/>
      <c r="B374" s="3"/>
    </row>
    <row r="375" ht="15.75" customHeight="1">
      <c r="A375" s="3"/>
      <c r="B375" s="3"/>
    </row>
    <row r="376" ht="15.75" customHeight="1">
      <c r="A376" s="3"/>
      <c r="B376" s="3"/>
    </row>
    <row r="377" ht="15.75" customHeight="1">
      <c r="A377" s="3"/>
      <c r="B377" s="3"/>
    </row>
    <row r="378" ht="15.75" customHeight="1">
      <c r="A378" s="3"/>
      <c r="B378" s="3"/>
    </row>
    <row r="379" ht="15.75" customHeight="1">
      <c r="A379" s="3"/>
      <c r="B379" s="3"/>
    </row>
    <row r="380" ht="15.75" customHeight="1">
      <c r="A380" s="3"/>
      <c r="B380" s="3"/>
    </row>
    <row r="381" ht="15.75" customHeight="1">
      <c r="A381" s="3"/>
      <c r="B381" s="3"/>
    </row>
    <row r="382" ht="15.75" customHeight="1">
      <c r="A382" s="3"/>
      <c r="B382" s="3"/>
    </row>
    <row r="383" ht="15.75" customHeight="1">
      <c r="A383" s="3"/>
      <c r="B383" s="3"/>
    </row>
    <row r="384" ht="15.75" customHeight="1">
      <c r="A384" s="3"/>
      <c r="B384" s="3"/>
    </row>
    <row r="385" ht="15.75" customHeight="1">
      <c r="A385" s="3"/>
      <c r="B385" s="3"/>
    </row>
    <row r="386" ht="15.75" customHeight="1">
      <c r="A386" s="3"/>
      <c r="B386" s="3"/>
    </row>
    <row r="387" ht="15.75" customHeight="1">
      <c r="A387" s="3"/>
      <c r="B387" s="3"/>
    </row>
    <row r="388" ht="15.75" customHeight="1">
      <c r="A388" s="3"/>
      <c r="B388" s="3"/>
    </row>
    <row r="389" ht="15.75" customHeight="1">
      <c r="A389" s="3"/>
      <c r="B389" s="3"/>
    </row>
    <row r="390" ht="15.75" customHeight="1">
      <c r="A390" s="3"/>
      <c r="B390" s="3"/>
    </row>
    <row r="391" ht="15.75" customHeight="1">
      <c r="A391" s="3"/>
      <c r="B391" s="3"/>
    </row>
    <row r="392" ht="15.75" customHeight="1">
      <c r="A392" s="3"/>
      <c r="B392" s="3"/>
    </row>
    <row r="393" ht="15.75" customHeight="1">
      <c r="A393" s="3"/>
      <c r="B393" s="3"/>
    </row>
    <row r="394" ht="15.75" customHeight="1">
      <c r="A394" s="3"/>
      <c r="B394" s="3"/>
    </row>
    <row r="395" ht="15.75" customHeight="1">
      <c r="A395" s="3"/>
      <c r="B395" s="3"/>
    </row>
    <row r="396" ht="15.75" customHeight="1">
      <c r="A396" s="3"/>
      <c r="B396" s="3"/>
    </row>
    <row r="397" ht="15.75" customHeight="1">
      <c r="A397" s="3"/>
      <c r="B397" s="3"/>
    </row>
    <row r="398" ht="15.75" customHeight="1">
      <c r="A398" s="3"/>
      <c r="B398" s="3"/>
    </row>
    <row r="399" ht="15.75" customHeight="1">
      <c r="A399" s="3"/>
      <c r="B399" s="3"/>
    </row>
    <row r="400" ht="15.75" customHeight="1">
      <c r="A400" s="3"/>
      <c r="B400" s="3"/>
    </row>
    <row r="401" ht="15.75" customHeight="1">
      <c r="A401" s="3"/>
      <c r="B401" s="3"/>
    </row>
    <row r="402" ht="15.75" customHeight="1">
      <c r="A402" s="3"/>
      <c r="B402" s="3"/>
    </row>
    <row r="403" ht="15.75" customHeight="1">
      <c r="A403" s="3"/>
      <c r="B403" s="3"/>
    </row>
    <row r="404" ht="15.75" customHeight="1">
      <c r="A404" s="3"/>
      <c r="B404" s="3"/>
    </row>
    <row r="405" ht="15.75" customHeight="1">
      <c r="A405" s="3"/>
      <c r="B405" s="3"/>
    </row>
    <row r="406" ht="15.75" customHeight="1">
      <c r="A406" s="3"/>
      <c r="B406" s="3"/>
    </row>
    <row r="407" ht="15.75" customHeight="1">
      <c r="A407" s="3"/>
      <c r="B407" s="3"/>
    </row>
    <row r="408" ht="15.75" customHeight="1">
      <c r="A408" s="3"/>
      <c r="B408" s="3"/>
    </row>
    <row r="409" ht="15.75" customHeight="1">
      <c r="A409" s="3"/>
      <c r="B409" s="3"/>
    </row>
    <row r="410" ht="15.75" customHeight="1">
      <c r="A410" s="3"/>
      <c r="B410" s="3"/>
    </row>
    <row r="411" ht="15.75" customHeight="1">
      <c r="A411" s="3"/>
      <c r="B411" s="3"/>
    </row>
    <row r="412" ht="15.75" customHeight="1">
      <c r="A412" s="3"/>
      <c r="B412" s="3"/>
    </row>
    <row r="413" ht="15.75" customHeight="1">
      <c r="A413" s="3"/>
      <c r="B413" s="3"/>
    </row>
    <row r="414" ht="15.75" customHeight="1">
      <c r="A414" s="3"/>
      <c r="B414" s="3"/>
    </row>
    <row r="415" ht="15.75" customHeight="1">
      <c r="A415" s="3"/>
      <c r="B415" s="3"/>
    </row>
    <row r="416" ht="15.75" customHeight="1">
      <c r="A416" s="3"/>
      <c r="B416" s="3"/>
    </row>
    <row r="417" ht="15.75" customHeight="1">
      <c r="A417" s="3"/>
      <c r="B417" s="3"/>
    </row>
    <row r="418" ht="15.75" customHeight="1">
      <c r="A418" s="3"/>
      <c r="B418" s="3"/>
    </row>
    <row r="419" ht="15.75" customHeight="1">
      <c r="A419" s="3"/>
      <c r="B419" s="3"/>
    </row>
    <row r="420" ht="15.75" customHeight="1">
      <c r="A420" s="3"/>
      <c r="B420" s="3"/>
    </row>
    <row r="421" ht="15.75" customHeight="1">
      <c r="A421" s="3"/>
      <c r="B421" s="3"/>
    </row>
    <row r="422" ht="15.75" customHeight="1">
      <c r="A422" s="3"/>
      <c r="B422" s="3"/>
    </row>
    <row r="423" ht="15.75" customHeight="1">
      <c r="A423" s="3"/>
      <c r="B423" s="3"/>
    </row>
    <row r="424" ht="15.75" customHeight="1">
      <c r="A424" s="3"/>
      <c r="B424" s="3"/>
    </row>
    <row r="425" ht="15.75" customHeight="1">
      <c r="A425" s="3"/>
      <c r="B425" s="3"/>
    </row>
    <row r="426" ht="15.75" customHeight="1">
      <c r="A426" s="3"/>
      <c r="B426" s="3"/>
    </row>
    <row r="427" ht="15.75" customHeight="1">
      <c r="A427" s="3"/>
      <c r="B427" s="3"/>
    </row>
    <row r="428" ht="15.75" customHeight="1">
      <c r="A428" s="3"/>
      <c r="B428" s="3"/>
    </row>
    <row r="429" ht="15.75" customHeight="1">
      <c r="A429" s="3"/>
      <c r="B429" s="3"/>
    </row>
    <row r="430" ht="15.75" customHeight="1">
      <c r="A430" s="3"/>
      <c r="B430" s="3"/>
    </row>
    <row r="431" ht="15.75" customHeight="1">
      <c r="A431" s="3"/>
      <c r="B431" s="3"/>
    </row>
    <row r="432" ht="15.75" customHeight="1">
      <c r="A432" s="3"/>
      <c r="B432" s="3"/>
    </row>
    <row r="433" ht="15.75" customHeight="1">
      <c r="A433" s="3"/>
      <c r="B433" s="3"/>
    </row>
    <row r="434" ht="15.75" customHeight="1">
      <c r="A434" s="3"/>
      <c r="B434" s="3"/>
    </row>
    <row r="435" ht="15.75" customHeight="1">
      <c r="A435" s="3"/>
      <c r="B435" s="3"/>
    </row>
    <row r="436" ht="15.75" customHeight="1">
      <c r="A436" s="3"/>
      <c r="B436" s="3"/>
    </row>
    <row r="437" ht="15.75" customHeight="1">
      <c r="A437" s="3"/>
      <c r="B437" s="3"/>
    </row>
    <row r="438" ht="15.75" customHeight="1">
      <c r="A438" s="3"/>
      <c r="B438" s="3"/>
    </row>
    <row r="439" ht="15.75" customHeight="1">
      <c r="A439" s="3"/>
      <c r="B439" s="3"/>
    </row>
    <row r="440" ht="15.75" customHeight="1">
      <c r="A440" s="3"/>
      <c r="B440" s="3"/>
    </row>
    <row r="441" ht="15.75" customHeight="1">
      <c r="A441" s="3"/>
      <c r="B441" s="3"/>
    </row>
    <row r="442" ht="15.75" customHeight="1">
      <c r="A442" s="3"/>
      <c r="B442" s="3"/>
    </row>
    <row r="443" ht="15.75" customHeight="1">
      <c r="A443" s="3"/>
      <c r="B443" s="3"/>
    </row>
    <row r="444" ht="15.75" customHeight="1">
      <c r="A444" s="3"/>
      <c r="B444" s="3"/>
    </row>
    <row r="445" ht="15.75" customHeight="1">
      <c r="A445" s="3"/>
      <c r="B445" s="3"/>
    </row>
    <row r="446" ht="15.75" customHeight="1">
      <c r="A446" s="3"/>
      <c r="B446" s="3"/>
    </row>
    <row r="447" ht="15.75" customHeight="1">
      <c r="A447" s="3"/>
      <c r="B447" s="3"/>
    </row>
    <row r="448" ht="15.75" customHeight="1">
      <c r="A448" s="3"/>
      <c r="B448" s="3"/>
    </row>
    <row r="449" ht="15.75" customHeight="1">
      <c r="A449" s="3"/>
      <c r="B449" s="3"/>
    </row>
    <row r="450" ht="15.75" customHeight="1">
      <c r="A450" s="3"/>
      <c r="B450" s="3"/>
    </row>
    <row r="451" ht="15.75" customHeight="1">
      <c r="A451" s="3"/>
      <c r="B451" s="3"/>
    </row>
    <row r="452" ht="15.75" customHeight="1">
      <c r="A452" s="3"/>
      <c r="B452" s="3"/>
    </row>
    <row r="453" ht="15.75" customHeight="1">
      <c r="A453" s="3"/>
      <c r="B453" s="3"/>
    </row>
    <row r="454" ht="15.75" customHeight="1">
      <c r="A454" s="3"/>
      <c r="B454" s="3"/>
    </row>
    <row r="455" ht="15.75" customHeight="1">
      <c r="A455" s="3"/>
      <c r="B455" s="3"/>
    </row>
    <row r="456" ht="15.75" customHeight="1">
      <c r="A456" s="3"/>
      <c r="B456" s="3"/>
    </row>
    <row r="457" ht="15.75" customHeight="1">
      <c r="A457" s="3"/>
      <c r="B457" s="3"/>
    </row>
    <row r="458" ht="15.75" customHeight="1">
      <c r="A458" s="3"/>
      <c r="B458" s="3"/>
    </row>
    <row r="459" ht="15.75" customHeight="1">
      <c r="A459" s="3"/>
      <c r="B459" s="3"/>
    </row>
    <row r="460" ht="15.75" customHeight="1">
      <c r="A460" s="3"/>
      <c r="B460" s="3"/>
    </row>
    <row r="461" ht="15.75" customHeight="1">
      <c r="A461" s="3"/>
      <c r="B461" s="3"/>
    </row>
    <row r="462" ht="15.75" customHeight="1">
      <c r="A462" s="3"/>
      <c r="B462" s="3"/>
    </row>
    <row r="463" ht="15.75" customHeight="1">
      <c r="A463" s="3"/>
      <c r="B463" s="3"/>
    </row>
    <row r="464" ht="15.75" customHeight="1">
      <c r="A464" s="3"/>
      <c r="B464" s="3"/>
    </row>
    <row r="465" ht="15.75" customHeight="1">
      <c r="A465" s="3"/>
      <c r="B465" s="3"/>
    </row>
    <row r="466" ht="15.75" customHeight="1">
      <c r="A466" s="3"/>
      <c r="B466" s="3"/>
    </row>
    <row r="467" ht="15.75" customHeight="1">
      <c r="A467" s="3"/>
      <c r="B467" s="3"/>
    </row>
    <row r="468" ht="15.75" customHeight="1">
      <c r="A468" s="3"/>
      <c r="B468" s="3"/>
    </row>
    <row r="469" ht="15.75" customHeight="1">
      <c r="A469" s="3"/>
      <c r="B469" s="3"/>
    </row>
    <row r="470" ht="15.75" customHeight="1">
      <c r="A470" s="3"/>
      <c r="B470" s="3"/>
    </row>
    <row r="471" ht="15.75" customHeight="1">
      <c r="A471" s="3"/>
      <c r="B471" s="3"/>
    </row>
    <row r="472" ht="15.75" customHeight="1">
      <c r="A472" s="3"/>
      <c r="B472" s="3"/>
    </row>
    <row r="473" ht="15.75" customHeight="1">
      <c r="A473" s="3"/>
      <c r="B473" s="3"/>
    </row>
    <row r="474" ht="15.75" customHeight="1">
      <c r="A474" s="3"/>
      <c r="B474" s="3"/>
    </row>
    <row r="475" ht="15.75" customHeight="1">
      <c r="A475" s="3"/>
      <c r="B475" s="3"/>
    </row>
    <row r="476" ht="15.75" customHeight="1">
      <c r="A476" s="3"/>
      <c r="B476" s="3"/>
    </row>
    <row r="477" ht="15.75" customHeight="1">
      <c r="A477" s="3"/>
      <c r="B477" s="3"/>
    </row>
    <row r="478" ht="15.75" customHeight="1">
      <c r="A478" s="3"/>
      <c r="B478" s="3"/>
    </row>
    <row r="479" ht="15.75" customHeight="1">
      <c r="A479" s="3"/>
      <c r="B479" s="3"/>
    </row>
    <row r="480" ht="15.75" customHeight="1">
      <c r="A480" s="3"/>
      <c r="B480" s="3"/>
    </row>
    <row r="481" ht="15.75" customHeight="1">
      <c r="A481" s="3"/>
      <c r="B481" s="3"/>
    </row>
    <row r="482" ht="15.75" customHeight="1">
      <c r="A482" s="3"/>
      <c r="B482" s="3"/>
    </row>
    <row r="483" ht="15.75" customHeight="1">
      <c r="A483" s="3"/>
      <c r="B483" s="3"/>
    </row>
    <row r="484" ht="15.75" customHeight="1">
      <c r="A484" s="3"/>
      <c r="B484" s="3"/>
    </row>
    <row r="485" ht="15.75" customHeight="1">
      <c r="A485" s="3"/>
      <c r="B485" s="3"/>
    </row>
    <row r="486" ht="15.75" customHeight="1">
      <c r="A486" s="3"/>
      <c r="B486" s="3"/>
    </row>
    <row r="487" ht="15.75" customHeight="1">
      <c r="A487" s="3"/>
      <c r="B487" s="3"/>
    </row>
    <row r="488" ht="15.75" customHeight="1">
      <c r="A488" s="3"/>
      <c r="B488" s="3"/>
    </row>
    <row r="489" ht="15.75" customHeight="1">
      <c r="A489" s="3"/>
      <c r="B489" s="3"/>
    </row>
    <row r="490" ht="15.75" customHeight="1">
      <c r="A490" s="3"/>
      <c r="B490" s="3"/>
    </row>
    <row r="491" ht="15.75" customHeight="1">
      <c r="A491" s="3"/>
      <c r="B491" s="3"/>
    </row>
    <row r="492" ht="15.75" customHeight="1">
      <c r="A492" s="3"/>
      <c r="B492" s="3"/>
    </row>
    <row r="493" ht="15.75" customHeight="1">
      <c r="A493" s="3"/>
      <c r="B493" s="3"/>
    </row>
    <row r="494" ht="15.75" customHeight="1">
      <c r="A494" s="3"/>
      <c r="B494" s="3"/>
    </row>
    <row r="495" ht="15.75" customHeight="1">
      <c r="A495" s="3"/>
      <c r="B495" s="3"/>
    </row>
    <row r="496" ht="15.75" customHeight="1">
      <c r="A496" s="3"/>
      <c r="B496" s="3"/>
    </row>
    <row r="497" ht="15.75" customHeight="1">
      <c r="A497" s="3"/>
      <c r="B497" s="3"/>
    </row>
    <row r="498" ht="15.75" customHeight="1">
      <c r="A498" s="3"/>
      <c r="B498" s="3"/>
    </row>
    <row r="499" ht="15.75" customHeight="1">
      <c r="A499" s="3"/>
      <c r="B499" s="3"/>
    </row>
    <row r="500" ht="15.75" customHeight="1">
      <c r="A500" s="3"/>
      <c r="B500" s="3"/>
    </row>
    <row r="501" ht="15.75" customHeight="1">
      <c r="A501" s="3"/>
      <c r="B501" s="3"/>
    </row>
    <row r="502" ht="15.75" customHeight="1">
      <c r="A502" s="3"/>
      <c r="B502" s="3"/>
    </row>
    <row r="503" ht="15.75" customHeight="1">
      <c r="A503" s="3"/>
      <c r="B503" s="3"/>
    </row>
    <row r="504" ht="15.75" customHeight="1">
      <c r="A504" s="3"/>
      <c r="B504" s="3"/>
    </row>
    <row r="505" ht="15.75" customHeight="1">
      <c r="A505" s="3"/>
      <c r="B505" s="3"/>
    </row>
    <row r="506" ht="15.75" customHeight="1">
      <c r="A506" s="3"/>
      <c r="B506" s="3"/>
    </row>
    <row r="507" ht="15.75" customHeight="1">
      <c r="A507" s="3"/>
      <c r="B507" s="3"/>
    </row>
    <row r="508" ht="15.75" customHeight="1">
      <c r="A508" s="3"/>
      <c r="B508" s="3"/>
    </row>
    <row r="509" ht="15.75" customHeight="1">
      <c r="A509" s="3"/>
      <c r="B509" s="3"/>
    </row>
    <row r="510" ht="15.75" customHeight="1">
      <c r="A510" s="3"/>
      <c r="B510" s="3"/>
    </row>
    <row r="511" ht="15.75" customHeight="1">
      <c r="A511" s="3"/>
      <c r="B511" s="3"/>
    </row>
    <row r="512" ht="15.75" customHeight="1">
      <c r="A512" s="3"/>
      <c r="B512" s="3"/>
    </row>
    <row r="513" ht="15.75" customHeight="1">
      <c r="A513" s="3"/>
      <c r="B513" s="3"/>
    </row>
    <row r="514" ht="15.75" customHeight="1">
      <c r="A514" s="3"/>
      <c r="B514" s="3"/>
    </row>
    <row r="515" ht="15.75" customHeight="1">
      <c r="A515" s="3"/>
      <c r="B515" s="3"/>
    </row>
    <row r="516" ht="15.75" customHeight="1">
      <c r="A516" s="3"/>
      <c r="B516" s="3"/>
    </row>
    <row r="517" ht="15.75" customHeight="1">
      <c r="A517" s="3"/>
      <c r="B517" s="3"/>
    </row>
    <row r="518" ht="15.75" customHeight="1">
      <c r="A518" s="3"/>
      <c r="B518" s="3"/>
    </row>
    <row r="519" ht="15.75" customHeight="1">
      <c r="A519" s="3"/>
      <c r="B519" s="3"/>
    </row>
    <row r="520" ht="15.75" customHeight="1">
      <c r="A520" s="3"/>
      <c r="B520" s="3"/>
    </row>
    <row r="521" ht="15.75" customHeight="1">
      <c r="A521" s="3"/>
      <c r="B521" s="3"/>
    </row>
    <row r="522" ht="15.75" customHeight="1">
      <c r="A522" s="3"/>
      <c r="B522" s="3"/>
    </row>
    <row r="523" ht="15.75" customHeight="1">
      <c r="A523" s="3"/>
      <c r="B523" s="3"/>
    </row>
    <row r="524" ht="15.75" customHeight="1">
      <c r="A524" s="3"/>
      <c r="B524" s="3"/>
    </row>
    <row r="525" ht="15.75" customHeight="1">
      <c r="A525" s="3"/>
      <c r="B525" s="3"/>
    </row>
    <row r="526" ht="15.75" customHeight="1">
      <c r="A526" s="3"/>
      <c r="B526" s="3"/>
    </row>
    <row r="527" ht="15.75" customHeight="1">
      <c r="A527" s="3"/>
      <c r="B527" s="3"/>
    </row>
    <row r="528" ht="15.75" customHeight="1">
      <c r="A528" s="3"/>
      <c r="B528" s="3"/>
    </row>
    <row r="529" ht="15.75" customHeight="1">
      <c r="A529" s="3"/>
      <c r="B529" s="3"/>
    </row>
    <row r="530" ht="15.75" customHeight="1">
      <c r="A530" s="3"/>
      <c r="B530" s="3"/>
    </row>
    <row r="531" ht="15.75" customHeight="1">
      <c r="A531" s="3"/>
      <c r="B531" s="3"/>
    </row>
    <row r="532" ht="15.75" customHeight="1">
      <c r="A532" s="3"/>
      <c r="B532" s="3"/>
    </row>
    <row r="533" ht="15.75" customHeight="1">
      <c r="A533" s="3"/>
      <c r="B533" s="3"/>
    </row>
    <row r="534" ht="15.75" customHeight="1">
      <c r="A534" s="3"/>
      <c r="B534" s="3"/>
    </row>
    <row r="535" ht="15.75" customHeight="1">
      <c r="A535" s="3"/>
      <c r="B535" s="3"/>
    </row>
    <row r="536" ht="15.75" customHeight="1">
      <c r="A536" s="3"/>
      <c r="B536" s="3"/>
    </row>
    <row r="537" ht="15.75" customHeight="1">
      <c r="A537" s="3"/>
      <c r="B537" s="3"/>
    </row>
    <row r="538" ht="15.75" customHeight="1">
      <c r="A538" s="3"/>
      <c r="B538" s="3"/>
    </row>
    <row r="539" ht="15.75" customHeight="1">
      <c r="A539" s="3"/>
      <c r="B539" s="3"/>
    </row>
    <row r="540" ht="15.75" customHeight="1">
      <c r="A540" s="3"/>
      <c r="B540" s="3"/>
    </row>
    <row r="541" ht="15.75" customHeight="1">
      <c r="A541" s="3"/>
      <c r="B541" s="3"/>
    </row>
    <row r="542" ht="15.75" customHeight="1">
      <c r="A542" s="3"/>
      <c r="B542" s="3"/>
    </row>
    <row r="543" ht="15.75" customHeight="1">
      <c r="A543" s="3"/>
      <c r="B543" s="3"/>
    </row>
    <row r="544" ht="15.75" customHeight="1">
      <c r="A544" s="3"/>
      <c r="B544" s="3"/>
    </row>
    <row r="545" ht="15.75" customHeight="1">
      <c r="A545" s="3"/>
      <c r="B545" s="3"/>
    </row>
    <row r="546" ht="15.75" customHeight="1">
      <c r="A546" s="3"/>
      <c r="B546" s="3"/>
    </row>
    <row r="547" ht="15.75" customHeight="1">
      <c r="A547" s="3"/>
      <c r="B547" s="3"/>
    </row>
    <row r="548" ht="15.75" customHeight="1">
      <c r="A548" s="3"/>
      <c r="B548" s="3"/>
    </row>
    <row r="549" ht="15.75" customHeight="1">
      <c r="A549" s="3"/>
      <c r="B549" s="3"/>
    </row>
    <row r="550" ht="15.75" customHeight="1">
      <c r="A550" s="3"/>
      <c r="B550" s="3"/>
    </row>
    <row r="551" ht="15.75" customHeight="1">
      <c r="A551" s="3"/>
      <c r="B551" s="3"/>
    </row>
    <row r="552" ht="15.75" customHeight="1">
      <c r="A552" s="3"/>
      <c r="B552" s="3"/>
    </row>
    <row r="553" ht="15.75" customHeight="1">
      <c r="A553" s="3"/>
      <c r="B553" s="3"/>
    </row>
    <row r="554" ht="15.75" customHeight="1">
      <c r="A554" s="3"/>
      <c r="B554" s="3"/>
    </row>
    <row r="555" ht="15.75" customHeight="1">
      <c r="A555" s="3"/>
      <c r="B555" s="3"/>
    </row>
    <row r="556" ht="15.75" customHeight="1">
      <c r="A556" s="3"/>
      <c r="B556" s="3"/>
    </row>
    <row r="557" ht="15.75" customHeight="1">
      <c r="A557" s="3"/>
      <c r="B557" s="3"/>
    </row>
    <row r="558" ht="15.75" customHeight="1">
      <c r="A558" s="3"/>
      <c r="B558" s="3"/>
    </row>
    <row r="559" ht="15.75" customHeight="1">
      <c r="A559" s="3"/>
      <c r="B559" s="3"/>
    </row>
    <row r="560" ht="15.75" customHeight="1">
      <c r="A560" s="3"/>
      <c r="B560" s="3"/>
    </row>
    <row r="561" ht="15.75" customHeight="1">
      <c r="A561" s="3"/>
      <c r="B561" s="3"/>
    </row>
    <row r="562" ht="15.75" customHeight="1">
      <c r="A562" s="3"/>
      <c r="B562" s="3"/>
    </row>
    <row r="563" ht="15.75" customHeight="1">
      <c r="A563" s="3"/>
      <c r="B563" s="3"/>
    </row>
    <row r="564" ht="15.75" customHeight="1">
      <c r="A564" s="3"/>
      <c r="B564" s="3"/>
    </row>
    <row r="565" ht="15.75" customHeight="1">
      <c r="A565" s="3"/>
      <c r="B565" s="3"/>
    </row>
    <row r="566" ht="15.75" customHeight="1">
      <c r="A566" s="3"/>
      <c r="B566" s="3"/>
    </row>
    <row r="567" ht="15.75" customHeight="1">
      <c r="A567" s="3"/>
      <c r="B567" s="3"/>
    </row>
    <row r="568" ht="15.75" customHeight="1">
      <c r="A568" s="3"/>
      <c r="B568" s="3"/>
    </row>
    <row r="569" ht="15.75" customHeight="1">
      <c r="A569" s="3"/>
      <c r="B569" s="3"/>
    </row>
    <row r="570" ht="15.75" customHeight="1">
      <c r="A570" s="3"/>
      <c r="B570" s="3"/>
    </row>
    <row r="571" ht="15.75" customHeight="1">
      <c r="A571" s="3"/>
      <c r="B571" s="3"/>
    </row>
    <row r="572" ht="15.75" customHeight="1">
      <c r="A572" s="3"/>
      <c r="B572" s="3"/>
    </row>
    <row r="573" ht="15.75" customHeight="1">
      <c r="A573" s="3"/>
      <c r="B573" s="3"/>
    </row>
    <row r="574" ht="15.75" customHeight="1">
      <c r="A574" s="3"/>
      <c r="B574" s="3"/>
    </row>
    <row r="575" ht="15.75" customHeight="1">
      <c r="A575" s="3"/>
      <c r="B575" s="3"/>
    </row>
    <row r="576" ht="15.75" customHeight="1">
      <c r="A576" s="3"/>
      <c r="B576" s="3"/>
    </row>
    <row r="577" ht="15.75" customHeight="1">
      <c r="A577" s="3"/>
      <c r="B577" s="3"/>
    </row>
    <row r="578" ht="15.75" customHeight="1">
      <c r="A578" s="3"/>
      <c r="B578" s="3"/>
    </row>
    <row r="579" ht="15.75" customHeight="1">
      <c r="A579" s="3"/>
      <c r="B579" s="3"/>
    </row>
    <row r="580" ht="15.75" customHeight="1">
      <c r="A580" s="3"/>
      <c r="B580" s="3"/>
    </row>
    <row r="581" ht="15.75" customHeight="1">
      <c r="A581" s="3"/>
      <c r="B581" s="3"/>
    </row>
    <row r="582" ht="15.75" customHeight="1">
      <c r="A582" s="3"/>
      <c r="B582" s="3"/>
    </row>
    <row r="583" ht="15.75" customHeight="1">
      <c r="A583" s="3"/>
      <c r="B583" s="3"/>
    </row>
    <row r="584" ht="15.75" customHeight="1">
      <c r="A584" s="3"/>
      <c r="B584" s="3"/>
    </row>
    <row r="585" ht="15.75" customHeight="1">
      <c r="A585" s="3"/>
      <c r="B585" s="3"/>
    </row>
    <row r="586" ht="15.75" customHeight="1">
      <c r="A586" s="3"/>
      <c r="B586" s="3"/>
    </row>
    <row r="587" ht="15.75" customHeight="1">
      <c r="A587" s="3"/>
      <c r="B587" s="3"/>
    </row>
    <row r="588" ht="15.75" customHeight="1">
      <c r="A588" s="3"/>
      <c r="B588" s="3"/>
    </row>
    <row r="589" ht="15.75" customHeight="1">
      <c r="A589" s="3"/>
      <c r="B589" s="3"/>
    </row>
    <row r="590" ht="15.75" customHeight="1">
      <c r="A590" s="3"/>
      <c r="B590" s="3"/>
    </row>
    <row r="591" ht="15.75" customHeight="1">
      <c r="A591" s="3"/>
      <c r="B591" s="3"/>
    </row>
    <row r="592" ht="15.75" customHeight="1">
      <c r="A592" s="3"/>
      <c r="B592" s="3"/>
    </row>
    <row r="593" ht="15.75" customHeight="1">
      <c r="A593" s="3"/>
      <c r="B593" s="3"/>
    </row>
    <row r="594" ht="15.75" customHeight="1">
      <c r="A594" s="3"/>
      <c r="B594" s="3"/>
    </row>
    <row r="595" ht="15.75" customHeight="1">
      <c r="A595" s="3"/>
      <c r="B595" s="3"/>
    </row>
    <row r="596" ht="15.75" customHeight="1">
      <c r="A596" s="3"/>
      <c r="B596" s="3"/>
    </row>
    <row r="597" ht="15.75" customHeight="1">
      <c r="A597" s="3"/>
      <c r="B597" s="3"/>
    </row>
    <row r="598" ht="15.75" customHeight="1">
      <c r="A598" s="3"/>
      <c r="B598" s="3"/>
    </row>
    <row r="599" ht="15.75" customHeight="1">
      <c r="A599" s="3"/>
      <c r="B599" s="3"/>
    </row>
    <row r="600" ht="15.75" customHeight="1">
      <c r="A600" s="3"/>
      <c r="B600" s="3"/>
    </row>
    <row r="601" ht="15.75" customHeight="1">
      <c r="A601" s="3"/>
      <c r="B601" s="3"/>
    </row>
    <row r="602" ht="15.75" customHeight="1">
      <c r="A602" s="3"/>
      <c r="B602" s="3"/>
    </row>
    <row r="603" ht="15.75" customHeight="1">
      <c r="A603" s="3"/>
      <c r="B603" s="3"/>
    </row>
    <row r="604" ht="15.75" customHeight="1">
      <c r="A604" s="3"/>
      <c r="B604" s="3"/>
    </row>
    <row r="605" ht="15.75" customHeight="1">
      <c r="A605" s="3"/>
      <c r="B605" s="3"/>
    </row>
    <row r="606" ht="15.75" customHeight="1">
      <c r="A606" s="3"/>
      <c r="B606" s="3"/>
    </row>
    <row r="607" ht="15.75" customHeight="1">
      <c r="A607" s="3"/>
      <c r="B607" s="3"/>
    </row>
    <row r="608" ht="15.75" customHeight="1">
      <c r="A608" s="3"/>
      <c r="B608" s="3"/>
    </row>
    <row r="609" ht="15.75" customHeight="1">
      <c r="A609" s="3"/>
      <c r="B609" s="3"/>
    </row>
    <row r="610" ht="15.75" customHeight="1">
      <c r="A610" s="3"/>
      <c r="B610" s="3"/>
    </row>
    <row r="611" ht="15.75" customHeight="1">
      <c r="A611" s="3"/>
      <c r="B611" s="3"/>
    </row>
    <row r="612" ht="15.75" customHeight="1">
      <c r="A612" s="3"/>
      <c r="B612" s="3"/>
    </row>
    <row r="613" ht="15.75" customHeight="1">
      <c r="A613" s="3"/>
      <c r="B613" s="3"/>
    </row>
    <row r="614" ht="15.75" customHeight="1">
      <c r="A614" s="3"/>
      <c r="B614" s="3"/>
    </row>
    <row r="615" ht="15.75" customHeight="1">
      <c r="A615" s="3"/>
      <c r="B615" s="3"/>
    </row>
    <row r="616" ht="15.75" customHeight="1">
      <c r="A616" s="3"/>
      <c r="B616" s="3"/>
    </row>
    <row r="617" ht="15.75" customHeight="1">
      <c r="A617" s="3"/>
      <c r="B617" s="3"/>
    </row>
    <row r="618" ht="15.75" customHeight="1">
      <c r="A618" s="3"/>
      <c r="B618" s="3"/>
    </row>
    <row r="619" ht="15.75" customHeight="1">
      <c r="A619" s="3"/>
      <c r="B619" s="3"/>
    </row>
    <row r="620" ht="15.75" customHeight="1">
      <c r="A620" s="3"/>
      <c r="B620" s="3"/>
    </row>
    <row r="621" ht="15.75" customHeight="1">
      <c r="A621" s="3"/>
      <c r="B621" s="3"/>
    </row>
    <row r="622" ht="15.75" customHeight="1">
      <c r="A622" s="3"/>
      <c r="B622" s="3"/>
    </row>
    <row r="623" ht="15.75" customHeight="1">
      <c r="A623" s="3"/>
      <c r="B623" s="3"/>
    </row>
    <row r="624" ht="15.75" customHeight="1">
      <c r="A624" s="3"/>
      <c r="B624" s="3"/>
    </row>
    <row r="625" ht="15.75" customHeight="1">
      <c r="A625" s="3"/>
      <c r="B625" s="3"/>
    </row>
    <row r="626" ht="15.75" customHeight="1">
      <c r="A626" s="3"/>
      <c r="B626" s="3"/>
    </row>
    <row r="627" ht="15.75" customHeight="1">
      <c r="A627" s="3"/>
      <c r="B627" s="3"/>
    </row>
    <row r="628" ht="15.75" customHeight="1">
      <c r="A628" s="3"/>
      <c r="B628" s="3"/>
    </row>
    <row r="629" ht="15.75" customHeight="1">
      <c r="A629" s="3"/>
      <c r="B629" s="3"/>
    </row>
    <row r="630" ht="15.75" customHeight="1">
      <c r="A630" s="3"/>
      <c r="B630" s="3"/>
    </row>
    <row r="631" ht="15.75" customHeight="1">
      <c r="A631" s="3"/>
      <c r="B631" s="3"/>
    </row>
    <row r="632" ht="15.75" customHeight="1">
      <c r="A632" s="3"/>
      <c r="B632" s="3"/>
    </row>
    <row r="633" ht="15.75" customHeight="1">
      <c r="A633" s="3"/>
      <c r="B633" s="3"/>
    </row>
    <row r="634" ht="15.75" customHeight="1">
      <c r="A634" s="3"/>
      <c r="B634" s="3"/>
    </row>
    <row r="635" ht="15.75" customHeight="1">
      <c r="A635" s="3"/>
      <c r="B635" s="3"/>
    </row>
    <row r="636" ht="15.75" customHeight="1">
      <c r="A636" s="3"/>
      <c r="B636" s="3"/>
    </row>
    <row r="637" ht="15.75" customHeight="1">
      <c r="A637" s="3"/>
      <c r="B637" s="3"/>
    </row>
    <row r="638" ht="15.75" customHeight="1">
      <c r="A638" s="3"/>
      <c r="B638" s="3"/>
    </row>
    <row r="639" ht="15.75" customHeight="1">
      <c r="A639" s="3"/>
      <c r="B639" s="3"/>
    </row>
    <row r="640" ht="15.75" customHeight="1">
      <c r="A640" s="3"/>
      <c r="B640" s="3"/>
    </row>
    <row r="641" ht="15.75" customHeight="1">
      <c r="A641" s="3"/>
      <c r="B641" s="3"/>
    </row>
    <row r="642" ht="15.75" customHeight="1">
      <c r="A642" s="3"/>
      <c r="B642" s="3"/>
    </row>
    <row r="643" ht="15.75" customHeight="1">
      <c r="A643" s="3"/>
      <c r="B643" s="3"/>
    </row>
    <row r="644" ht="15.75" customHeight="1">
      <c r="A644" s="3"/>
      <c r="B644" s="3"/>
    </row>
    <row r="645" ht="15.75" customHeight="1">
      <c r="A645" s="3"/>
      <c r="B645" s="3"/>
    </row>
    <row r="646" ht="15.75" customHeight="1">
      <c r="A646" s="3"/>
      <c r="B646" s="3"/>
    </row>
    <row r="647" ht="15.75" customHeight="1">
      <c r="A647" s="3"/>
      <c r="B647" s="3"/>
    </row>
    <row r="648" ht="15.75" customHeight="1">
      <c r="A648" s="3"/>
      <c r="B648" s="3"/>
    </row>
    <row r="649" ht="15.75" customHeight="1">
      <c r="A649" s="3"/>
      <c r="B649" s="3"/>
    </row>
    <row r="650" ht="15.75" customHeight="1">
      <c r="A650" s="3"/>
      <c r="B650" s="3"/>
    </row>
    <row r="651" ht="15.75" customHeight="1">
      <c r="A651" s="3"/>
      <c r="B651" s="3"/>
    </row>
    <row r="652" ht="15.75" customHeight="1">
      <c r="A652" s="3"/>
      <c r="B652" s="3"/>
    </row>
    <row r="653" ht="15.75" customHeight="1">
      <c r="A653" s="3"/>
      <c r="B653" s="3"/>
    </row>
    <row r="654" ht="15.75" customHeight="1">
      <c r="A654" s="3"/>
      <c r="B654" s="3"/>
    </row>
    <row r="655" ht="15.75" customHeight="1">
      <c r="A655" s="3"/>
      <c r="B655" s="3"/>
    </row>
    <row r="656" ht="15.75" customHeight="1">
      <c r="A656" s="3"/>
      <c r="B656" s="3"/>
    </row>
    <row r="657" ht="15.75" customHeight="1">
      <c r="A657" s="3"/>
      <c r="B657" s="3"/>
    </row>
    <row r="658" ht="15.75" customHeight="1">
      <c r="A658" s="3"/>
      <c r="B658" s="3"/>
    </row>
    <row r="659" ht="15.75" customHeight="1">
      <c r="A659" s="3"/>
      <c r="B659" s="3"/>
    </row>
    <row r="660" ht="15.75" customHeight="1">
      <c r="A660" s="3"/>
      <c r="B660" s="3"/>
    </row>
    <row r="661" ht="15.75" customHeight="1">
      <c r="A661" s="3"/>
      <c r="B661" s="3"/>
    </row>
    <row r="662" ht="15.75" customHeight="1">
      <c r="A662" s="3"/>
      <c r="B662" s="3"/>
    </row>
    <row r="663" ht="15.75" customHeight="1">
      <c r="A663" s="3"/>
      <c r="B663" s="3"/>
    </row>
    <row r="664" ht="15.75" customHeight="1">
      <c r="A664" s="3"/>
      <c r="B664" s="3"/>
    </row>
    <row r="665" ht="15.75" customHeight="1">
      <c r="A665" s="3"/>
      <c r="B665" s="3"/>
    </row>
    <row r="666" ht="15.75" customHeight="1">
      <c r="A666" s="3"/>
      <c r="B666" s="3"/>
    </row>
    <row r="667" ht="15.75" customHeight="1">
      <c r="A667" s="3"/>
      <c r="B667" s="3"/>
    </row>
    <row r="668" ht="15.75" customHeight="1">
      <c r="A668" s="3"/>
      <c r="B668" s="3"/>
    </row>
    <row r="669" ht="15.75" customHeight="1">
      <c r="A669" s="3"/>
      <c r="B669" s="3"/>
    </row>
    <row r="670" ht="15.75" customHeight="1">
      <c r="A670" s="3"/>
      <c r="B670" s="3"/>
    </row>
    <row r="671" ht="15.75" customHeight="1">
      <c r="A671" s="3"/>
      <c r="B671" s="3"/>
    </row>
    <row r="672" ht="15.75" customHeight="1">
      <c r="A672" s="3"/>
      <c r="B672" s="3"/>
    </row>
    <row r="673" ht="15.75" customHeight="1">
      <c r="A673" s="3"/>
      <c r="B673" s="3"/>
    </row>
    <row r="674" ht="15.75" customHeight="1">
      <c r="A674" s="3"/>
      <c r="B674" s="3"/>
    </row>
    <row r="675" ht="15.75" customHeight="1">
      <c r="A675" s="3"/>
      <c r="B675" s="3"/>
    </row>
    <row r="676" ht="15.75" customHeight="1">
      <c r="A676" s="3"/>
      <c r="B676" s="3"/>
    </row>
    <row r="677" ht="15.75" customHeight="1">
      <c r="A677" s="3"/>
      <c r="B677" s="3"/>
    </row>
    <row r="678" ht="15.75" customHeight="1">
      <c r="A678" s="3"/>
      <c r="B678" s="3"/>
    </row>
    <row r="679" ht="15.75" customHeight="1">
      <c r="A679" s="3"/>
      <c r="B679" s="3"/>
    </row>
    <row r="680" ht="15.75" customHeight="1">
      <c r="A680" s="3"/>
      <c r="B680" s="3"/>
    </row>
    <row r="681" ht="15.75" customHeight="1">
      <c r="A681" s="3"/>
      <c r="B681" s="3"/>
    </row>
    <row r="682" ht="15.75" customHeight="1">
      <c r="A682" s="3"/>
      <c r="B682" s="3"/>
    </row>
    <row r="683" ht="15.75" customHeight="1">
      <c r="A683" s="3"/>
      <c r="B683" s="3"/>
    </row>
    <row r="684" ht="15.75" customHeight="1">
      <c r="A684" s="3"/>
      <c r="B684" s="3"/>
    </row>
    <row r="685" ht="15.75" customHeight="1">
      <c r="A685" s="3"/>
      <c r="B685" s="3"/>
    </row>
    <row r="686" ht="15.75" customHeight="1">
      <c r="A686" s="3"/>
      <c r="B686" s="3"/>
    </row>
    <row r="687" ht="15.75" customHeight="1">
      <c r="A687" s="3"/>
      <c r="B687" s="3"/>
    </row>
    <row r="688" ht="15.75" customHeight="1">
      <c r="A688" s="3"/>
      <c r="B688" s="3"/>
    </row>
    <row r="689" ht="15.75" customHeight="1">
      <c r="A689" s="3"/>
      <c r="B689" s="3"/>
    </row>
    <row r="690" ht="15.75" customHeight="1">
      <c r="A690" s="3"/>
      <c r="B690" s="3"/>
    </row>
    <row r="691" ht="15.75" customHeight="1">
      <c r="A691" s="3"/>
      <c r="B691" s="3"/>
    </row>
    <row r="692" ht="15.75" customHeight="1">
      <c r="A692" s="3"/>
      <c r="B692" s="3"/>
    </row>
    <row r="693" ht="15.75" customHeight="1">
      <c r="A693" s="3"/>
      <c r="B693" s="3"/>
    </row>
    <row r="694" ht="15.75" customHeight="1">
      <c r="A694" s="3"/>
      <c r="B694" s="3"/>
    </row>
    <row r="695" ht="15.75" customHeight="1">
      <c r="A695" s="3"/>
      <c r="B695" s="3"/>
    </row>
    <row r="696" ht="15.75" customHeight="1">
      <c r="A696" s="3"/>
      <c r="B696" s="3"/>
    </row>
    <row r="697" ht="15.75" customHeight="1">
      <c r="A697" s="3"/>
      <c r="B697" s="3"/>
    </row>
    <row r="698" ht="15.75" customHeight="1">
      <c r="A698" s="3"/>
      <c r="B698" s="3"/>
    </row>
    <row r="699" ht="15.75" customHeight="1">
      <c r="A699" s="3"/>
      <c r="B699" s="3"/>
    </row>
    <row r="700" ht="15.75" customHeight="1">
      <c r="A700" s="3"/>
      <c r="B700" s="3"/>
    </row>
    <row r="701" ht="15.75" customHeight="1">
      <c r="A701" s="3"/>
      <c r="B701" s="3"/>
    </row>
    <row r="702" ht="15.75" customHeight="1">
      <c r="A702" s="3"/>
      <c r="B702" s="3"/>
    </row>
    <row r="703" ht="15.75" customHeight="1">
      <c r="A703" s="3"/>
      <c r="B703" s="3"/>
    </row>
    <row r="704" ht="15.75" customHeight="1">
      <c r="A704" s="3"/>
      <c r="B704" s="3"/>
    </row>
    <row r="705" ht="15.75" customHeight="1">
      <c r="A705" s="3"/>
      <c r="B705" s="3"/>
    </row>
    <row r="706" ht="15.75" customHeight="1">
      <c r="A706" s="3"/>
      <c r="B706" s="3"/>
    </row>
    <row r="707" ht="15.75" customHeight="1">
      <c r="A707" s="3"/>
      <c r="B707" s="3"/>
    </row>
    <row r="708" ht="15.75" customHeight="1">
      <c r="A708" s="3"/>
      <c r="B708" s="3"/>
    </row>
    <row r="709" ht="15.75" customHeight="1">
      <c r="A709" s="3"/>
      <c r="B709" s="3"/>
    </row>
    <row r="710" ht="15.75" customHeight="1">
      <c r="A710" s="3"/>
      <c r="B710" s="3"/>
    </row>
    <row r="711" ht="15.75" customHeight="1">
      <c r="A711" s="3"/>
      <c r="B711" s="3"/>
    </row>
    <row r="712" ht="15.75" customHeight="1">
      <c r="A712" s="3"/>
      <c r="B712" s="3"/>
    </row>
    <row r="713" ht="15.75" customHeight="1">
      <c r="A713" s="3"/>
      <c r="B713" s="3"/>
    </row>
    <row r="714" ht="15.75" customHeight="1">
      <c r="A714" s="3"/>
      <c r="B714" s="3"/>
    </row>
    <row r="715" ht="15.75" customHeight="1">
      <c r="A715" s="3"/>
      <c r="B715" s="3"/>
    </row>
    <row r="716" ht="15.75" customHeight="1">
      <c r="A716" s="3"/>
      <c r="B716" s="3"/>
    </row>
    <row r="717" ht="15.75" customHeight="1">
      <c r="A717" s="3"/>
      <c r="B717" s="3"/>
    </row>
    <row r="718" ht="15.75" customHeight="1">
      <c r="A718" s="3"/>
      <c r="B718" s="3"/>
    </row>
    <row r="719" ht="15.75" customHeight="1">
      <c r="A719" s="3"/>
      <c r="B719" s="3"/>
    </row>
    <row r="720" ht="15.75" customHeight="1">
      <c r="A720" s="3"/>
      <c r="B720" s="3"/>
    </row>
    <row r="721" ht="15.75" customHeight="1">
      <c r="A721" s="3"/>
      <c r="B721" s="3"/>
    </row>
    <row r="722" ht="15.75" customHeight="1">
      <c r="A722" s="3"/>
      <c r="B722" s="3"/>
    </row>
    <row r="723" ht="15.75" customHeight="1">
      <c r="A723" s="3"/>
      <c r="B723" s="3"/>
    </row>
    <row r="724" ht="15.75" customHeight="1">
      <c r="A724" s="3"/>
      <c r="B724" s="3"/>
    </row>
    <row r="725" ht="15.75" customHeight="1">
      <c r="A725" s="3"/>
      <c r="B725" s="3"/>
    </row>
    <row r="726" ht="15.75" customHeight="1">
      <c r="A726" s="3"/>
      <c r="B726" s="3"/>
    </row>
    <row r="727" ht="15.75" customHeight="1">
      <c r="A727" s="3"/>
      <c r="B727" s="3"/>
    </row>
    <row r="728" ht="15.75" customHeight="1">
      <c r="A728" s="3"/>
      <c r="B728" s="3"/>
    </row>
    <row r="729" ht="15.75" customHeight="1">
      <c r="A729" s="3"/>
      <c r="B729" s="3"/>
    </row>
    <row r="730" ht="15.75" customHeight="1">
      <c r="A730" s="3"/>
      <c r="B730" s="3"/>
    </row>
    <row r="731" ht="15.75" customHeight="1">
      <c r="A731" s="3"/>
      <c r="B731" s="3"/>
    </row>
    <row r="732" ht="15.75" customHeight="1">
      <c r="A732" s="3"/>
      <c r="B732" s="3"/>
    </row>
    <row r="733" ht="15.75" customHeight="1">
      <c r="A733" s="3"/>
      <c r="B733" s="3"/>
    </row>
    <row r="734" ht="15.75" customHeight="1">
      <c r="A734" s="3"/>
      <c r="B734" s="3"/>
    </row>
    <row r="735" ht="15.75" customHeight="1">
      <c r="A735" s="3"/>
      <c r="B735" s="3"/>
    </row>
    <row r="736" ht="15.75" customHeight="1">
      <c r="A736" s="3"/>
      <c r="B736" s="3"/>
    </row>
    <row r="737" ht="15.75" customHeight="1">
      <c r="A737" s="3"/>
      <c r="B737" s="3"/>
    </row>
    <row r="738" ht="15.75" customHeight="1">
      <c r="A738" s="3"/>
      <c r="B738" s="3"/>
    </row>
    <row r="739" ht="15.75" customHeight="1">
      <c r="A739" s="3"/>
      <c r="B739" s="3"/>
    </row>
    <row r="740" ht="15.75" customHeight="1">
      <c r="A740" s="3"/>
      <c r="B740" s="3"/>
    </row>
    <row r="741" ht="15.75" customHeight="1">
      <c r="A741" s="3"/>
      <c r="B741" s="3"/>
    </row>
    <row r="742" ht="15.75" customHeight="1">
      <c r="A742" s="3"/>
      <c r="B742" s="3"/>
    </row>
    <row r="743" ht="15.75" customHeight="1">
      <c r="A743" s="3"/>
      <c r="B743" s="3"/>
    </row>
    <row r="744" ht="15.75" customHeight="1">
      <c r="A744" s="3"/>
      <c r="B744" s="3"/>
    </row>
    <row r="745" ht="15.75" customHeight="1">
      <c r="A745" s="3"/>
      <c r="B745" s="3"/>
    </row>
    <row r="746" ht="15.75" customHeight="1">
      <c r="A746" s="3"/>
      <c r="B746" s="3"/>
    </row>
    <row r="747" ht="15.75" customHeight="1">
      <c r="A747" s="3"/>
      <c r="B747" s="3"/>
    </row>
    <row r="748" ht="15.75" customHeight="1">
      <c r="A748" s="3"/>
      <c r="B748" s="3"/>
    </row>
    <row r="749" ht="15.75" customHeight="1">
      <c r="A749" s="3"/>
      <c r="B749" s="3"/>
    </row>
    <row r="750" ht="15.75" customHeight="1">
      <c r="A750" s="3"/>
      <c r="B750" s="3"/>
    </row>
    <row r="751" ht="15.75" customHeight="1">
      <c r="A751" s="3"/>
      <c r="B751" s="3"/>
    </row>
    <row r="752" ht="15.75" customHeight="1">
      <c r="A752" s="3"/>
      <c r="B752" s="3"/>
    </row>
    <row r="753" ht="15.75" customHeight="1">
      <c r="A753" s="3"/>
      <c r="B753" s="3"/>
    </row>
    <row r="754" ht="15.75" customHeight="1">
      <c r="A754" s="3"/>
      <c r="B754" s="3"/>
    </row>
    <row r="755" ht="15.75" customHeight="1">
      <c r="A755" s="3"/>
      <c r="B755" s="3"/>
    </row>
    <row r="756" ht="15.75" customHeight="1">
      <c r="A756" s="3"/>
      <c r="B756" s="3"/>
    </row>
    <row r="757" ht="15.75" customHeight="1">
      <c r="A757" s="3"/>
      <c r="B757" s="3"/>
    </row>
    <row r="758" ht="15.75" customHeight="1">
      <c r="A758" s="3"/>
      <c r="B758" s="3"/>
    </row>
    <row r="759" ht="15.75" customHeight="1">
      <c r="A759" s="3"/>
      <c r="B759" s="3"/>
    </row>
    <row r="760" ht="15.75" customHeight="1">
      <c r="A760" s="3"/>
      <c r="B760" s="3"/>
    </row>
    <row r="761" ht="15.75" customHeight="1">
      <c r="A761" s="3"/>
      <c r="B761" s="3"/>
    </row>
    <row r="762" ht="15.75" customHeight="1">
      <c r="A762" s="3"/>
      <c r="B762" s="3"/>
    </row>
    <row r="763" ht="15.75" customHeight="1">
      <c r="A763" s="3"/>
      <c r="B763" s="3"/>
    </row>
    <row r="764" ht="15.75" customHeight="1">
      <c r="A764" s="3"/>
      <c r="B764" s="3"/>
    </row>
    <row r="765" ht="15.75" customHeight="1">
      <c r="A765" s="3"/>
      <c r="B765" s="3"/>
    </row>
    <row r="766" ht="15.75" customHeight="1">
      <c r="A766" s="3"/>
      <c r="B766" s="3"/>
    </row>
    <row r="767" ht="15.75" customHeight="1">
      <c r="A767" s="3"/>
      <c r="B767" s="3"/>
    </row>
    <row r="768" ht="15.75" customHeight="1">
      <c r="A768" s="3"/>
      <c r="B768" s="3"/>
    </row>
    <row r="769" ht="15.75" customHeight="1">
      <c r="A769" s="3"/>
      <c r="B769" s="3"/>
    </row>
    <row r="770" ht="15.75" customHeight="1">
      <c r="A770" s="3"/>
      <c r="B770" s="3"/>
    </row>
    <row r="771" ht="15.75" customHeight="1">
      <c r="A771" s="3"/>
      <c r="B771" s="3"/>
    </row>
    <row r="772" ht="15.75" customHeight="1">
      <c r="A772" s="3"/>
      <c r="B772" s="3"/>
    </row>
    <row r="773" ht="15.75" customHeight="1">
      <c r="A773" s="3"/>
      <c r="B773" s="3"/>
    </row>
    <row r="774" ht="15.75" customHeight="1">
      <c r="A774" s="3"/>
      <c r="B774" s="3"/>
    </row>
    <row r="775" ht="15.75" customHeight="1">
      <c r="A775" s="3"/>
      <c r="B775" s="3"/>
    </row>
    <row r="776" ht="15.75" customHeight="1">
      <c r="A776" s="3"/>
      <c r="B776" s="3"/>
    </row>
    <row r="777" ht="15.75" customHeight="1">
      <c r="A777" s="3"/>
      <c r="B777" s="3"/>
    </row>
    <row r="778" ht="15.75" customHeight="1">
      <c r="A778" s="3"/>
      <c r="B778" s="3"/>
    </row>
    <row r="779" ht="15.75" customHeight="1">
      <c r="A779" s="3"/>
      <c r="B779" s="3"/>
    </row>
    <row r="780" ht="15.75" customHeight="1">
      <c r="A780" s="3"/>
      <c r="B780" s="3"/>
    </row>
    <row r="781" ht="15.75" customHeight="1">
      <c r="A781" s="3"/>
      <c r="B781" s="3"/>
    </row>
    <row r="782" ht="15.75" customHeight="1">
      <c r="A782" s="3"/>
      <c r="B782" s="3"/>
    </row>
    <row r="783" ht="15.75" customHeight="1">
      <c r="A783" s="3"/>
      <c r="B783" s="3"/>
    </row>
    <row r="784" ht="15.75" customHeight="1">
      <c r="A784" s="3"/>
      <c r="B784" s="3"/>
    </row>
    <row r="785" ht="15.75" customHeight="1">
      <c r="A785" s="3"/>
      <c r="B785" s="3"/>
    </row>
    <row r="786" ht="15.75" customHeight="1">
      <c r="A786" s="3"/>
      <c r="B786" s="3"/>
    </row>
    <row r="787" ht="15.75" customHeight="1">
      <c r="A787" s="3"/>
      <c r="B787" s="3"/>
    </row>
    <row r="788" ht="15.75" customHeight="1">
      <c r="A788" s="3"/>
      <c r="B788" s="3"/>
    </row>
    <row r="789" ht="15.75" customHeight="1">
      <c r="A789" s="3"/>
      <c r="B789" s="3"/>
    </row>
    <row r="790" ht="15.75" customHeight="1">
      <c r="A790" s="3"/>
      <c r="B790" s="3"/>
    </row>
    <row r="791" ht="15.75" customHeight="1">
      <c r="A791" s="3"/>
      <c r="B791" s="3"/>
    </row>
    <row r="792" ht="15.75" customHeight="1">
      <c r="A792" s="3"/>
      <c r="B792" s="3"/>
    </row>
    <row r="793" ht="15.75" customHeight="1">
      <c r="A793" s="3"/>
      <c r="B793" s="3"/>
    </row>
    <row r="794" ht="15.75" customHeight="1">
      <c r="A794" s="3"/>
      <c r="B794" s="3"/>
    </row>
    <row r="795" ht="15.75" customHeight="1">
      <c r="A795" s="3"/>
      <c r="B795" s="3"/>
    </row>
    <row r="796" ht="15.75" customHeight="1">
      <c r="A796" s="3"/>
      <c r="B796" s="3"/>
    </row>
    <row r="797" ht="15.75" customHeight="1">
      <c r="A797" s="3"/>
      <c r="B797" s="3"/>
    </row>
    <row r="798" ht="15.75" customHeight="1">
      <c r="A798" s="3"/>
      <c r="B798" s="3"/>
    </row>
    <row r="799" ht="15.75" customHeight="1">
      <c r="A799" s="3"/>
      <c r="B799" s="3"/>
    </row>
    <row r="800" ht="15.75" customHeight="1">
      <c r="A800" s="3"/>
      <c r="B800" s="3"/>
    </row>
    <row r="801" ht="15.75" customHeight="1">
      <c r="A801" s="3"/>
      <c r="B801" s="3"/>
    </row>
    <row r="802" ht="15.75" customHeight="1">
      <c r="A802" s="3"/>
      <c r="B802" s="3"/>
    </row>
    <row r="803" ht="15.75" customHeight="1">
      <c r="A803" s="3"/>
      <c r="B803" s="3"/>
    </row>
    <row r="804" ht="15.75" customHeight="1">
      <c r="A804" s="3"/>
      <c r="B804" s="3"/>
    </row>
    <row r="805" ht="15.75" customHeight="1">
      <c r="A805" s="3"/>
      <c r="B805" s="3"/>
    </row>
    <row r="806" ht="15.75" customHeight="1">
      <c r="A806" s="3"/>
      <c r="B806" s="3"/>
    </row>
    <row r="807" ht="15.75" customHeight="1">
      <c r="A807" s="3"/>
      <c r="B807" s="3"/>
    </row>
    <row r="808" ht="15.75" customHeight="1">
      <c r="A808" s="3"/>
      <c r="B808" s="3"/>
    </row>
    <row r="809" ht="15.75" customHeight="1">
      <c r="A809" s="3"/>
      <c r="B809" s="3"/>
    </row>
    <row r="810" ht="15.75" customHeight="1">
      <c r="A810" s="3"/>
      <c r="B810" s="3"/>
    </row>
    <row r="811" ht="15.75" customHeight="1">
      <c r="A811" s="3"/>
      <c r="B811" s="3"/>
    </row>
    <row r="812" ht="15.75" customHeight="1">
      <c r="A812" s="3"/>
      <c r="B812" s="3"/>
    </row>
    <row r="813" ht="15.75" customHeight="1">
      <c r="A813" s="3"/>
      <c r="B813" s="3"/>
    </row>
    <row r="814" ht="15.75" customHeight="1">
      <c r="A814" s="3"/>
      <c r="B814" s="3"/>
    </row>
    <row r="815" ht="15.75" customHeight="1">
      <c r="A815" s="3"/>
      <c r="B815" s="3"/>
    </row>
    <row r="816" ht="15.75" customHeight="1">
      <c r="A816" s="3"/>
      <c r="B816" s="3"/>
    </row>
    <row r="817" ht="15.75" customHeight="1">
      <c r="A817" s="3"/>
      <c r="B817" s="3"/>
    </row>
    <row r="818" ht="15.75" customHeight="1">
      <c r="A818" s="3"/>
      <c r="B818" s="3"/>
    </row>
    <row r="819" ht="15.75" customHeight="1">
      <c r="A819" s="3"/>
      <c r="B819" s="3"/>
    </row>
    <row r="820" ht="15.75" customHeight="1">
      <c r="A820" s="3"/>
      <c r="B820" s="3"/>
    </row>
    <row r="821" ht="15.75" customHeight="1">
      <c r="A821" s="3"/>
      <c r="B821" s="3"/>
    </row>
    <row r="822" ht="15.75" customHeight="1">
      <c r="A822" s="3"/>
      <c r="B822" s="3"/>
    </row>
    <row r="823" ht="15.75" customHeight="1">
      <c r="A823" s="3"/>
      <c r="B823" s="3"/>
    </row>
    <row r="824" ht="15.75" customHeight="1">
      <c r="A824" s="3"/>
      <c r="B824" s="3"/>
    </row>
    <row r="825" ht="15.75" customHeight="1">
      <c r="A825" s="3"/>
      <c r="B825" s="3"/>
    </row>
    <row r="826" ht="15.75" customHeight="1">
      <c r="A826" s="3"/>
      <c r="B826" s="3"/>
    </row>
    <row r="827" ht="15.75" customHeight="1">
      <c r="A827" s="3"/>
      <c r="B827" s="3"/>
    </row>
    <row r="828" ht="15.75" customHeight="1">
      <c r="A828" s="3"/>
      <c r="B828" s="3"/>
    </row>
    <row r="829" ht="15.75" customHeight="1">
      <c r="A829" s="3"/>
      <c r="B829" s="3"/>
    </row>
    <row r="830" ht="15.75" customHeight="1">
      <c r="A830" s="3"/>
      <c r="B830" s="3"/>
    </row>
    <row r="831" ht="15.75" customHeight="1">
      <c r="A831" s="3"/>
      <c r="B831" s="3"/>
    </row>
    <row r="832" ht="15.75" customHeight="1">
      <c r="A832" s="3"/>
      <c r="B832" s="3"/>
    </row>
    <row r="833" ht="15.75" customHeight="1">
      <c r="A833" s="3"/>
      <c r="B833" s="3"/>
    </row>
    <row r="834" ht="15.75" customHeight="1">
      <c r="A834" s="3"/>
      <c r="B834" s="3"/>
    </row>
    <row r="835" ht="15.75" customHeight="1">
      <c r="A835" s="3"/>
      <c r="B835" s="3"/>
    </row>
    <row r="836" ht="15.75" customHeight="1">
      <c r="A836" s="3"/>
      <c r="B836" s="3"/>
    </row>
    <row r="837" ht="15.75" customHeight="1">
      <c r="A837" s="3"/>
      <c r="B837" s="3"/>
    </row>
    <row r="838" ht="15.75" customHeight="1">
      <c r="A838" s="3"/>
      <c r="B838" s="3"/>
    </row>
    <row r="839" ht="15.75" customHeight="1">
      <c r="A839" s="3"/>
      <c r="B839" s="3"/>
    </row>
    <row r="840" ht="15.75" customHeight="1">
      <c r="A840" s="3"/>
      <c r="B840" s="3"/>
    </row>
    <row r="841" ht="15.75" customHeight="1">
      <c r="A841" s="3"/>
      <c r="B841" s="3"/>
    </row>
    <row r="842" ht="15.75" customHeight="1">
      <c r="A842" s="3"/>
      <c r="B842" s="3"/>
    </row>
    <row r="843" ht="15.75" customHeight="1">
      <c r="A843" s="3"/>
      <c r="B843" s="3"/>
    </row>
    <row r="844" ht="15.75" customHeight="1">
      <c r="A844" s="3"/>
      <c r="B844" s="3"/>
    </row>
    <row r="845" ht="15.75" customHeight="1">
      <c r="A845" s="3"/>
      <c r="B845" s="3"/>
    </row>
    <row r="846" ht="15.75" customHeight="1">
      <c r="A846" s="3"/>
      <c r="B846" s="3"/>
    </row>
    <row r="847" ht="15.75" customHeight="1">
      <c r="A847" s="3"/>
      <c r="B847" s="3"/>
    </row>
    <row r="848" ht="15.75" customHeight="1">
      <c r="A848" s="3"/>
      <c r="B848" s="3"/>
    </row>
    <row r="849" ht="15.75" customHeight="1">
      <c r="A849" s="3"/>
      <c r="B849" s="3"/>
    </row>
    <row r="850" ht="15.75" customHeight="1">
      <c r="A850" s="3"/>
      <c r="B850" s="3"/>
    </row>
    <row r="851" ht="15.75" customHeight="1">
      <c r="A851" s="3"/>
      <c r="B851" s="3"/>
    </row>
    <row r="852" ht="15.75" customHeight="1">
      <c r="A852" s="3"/>
      <c r="B852" s="3"/>
    </row>
    <row r="853" ht="15.75" customHeight="1">
      <c r="A853" s="3"/>
      <c r="B853" s="3"/>
    </row>
    <row r="854" ht="15.75" customHeight="1">
      <c r="A854" s="3"/>
      <c r="B854" s="3"/>
    </row>
    <row r="855" ht="15.75" customHeight="1">
      <c r="A855" s="3"/>
      <c r="B855" s="3"/>
    </row>
    <row r="856" ht="15.75" customHeight="1">
      <c r="A856" s="3"/>
      <c r="B856" s="3"/>
    </row>
    <row r="857" ht="15.75" customHeight="1">
      <c r="A857" s="3"/>
      <c r="B857" s="3"/>
    </row>
    <row r="858" ht="15.75" customHeight="1">
      <c r="A858" s="3"/>
      <c r="B858" s="3"/>
    </row>
    <row r="859" ht="15.75" customHeight="1">
      <c r="A859" s="3"/>
      <c r="B859" s="3"/>
    </row>
    <row r="860" ht="15.75" customHeight="1">
      <c r="A860" s="3"/>
      <c r="B860" s="3"/>
    </row>
    <row r="861" ht="15.75" customHeight="1">
      <c r="A861" s="3"/>
      <c r="B861" s="3"/>
    </row>
    <row r="862" ht="15.75" customHeight="1">
      <c r="A862" s="3"/>
      <c r="B862" s="3"/>
    </row>
    <row r="863" ht="15.75" customHeight="1">
      <c r="A863" s="3"/>
      <c r="B863" s="3"/>
    </row>
    <row r="864" ht="15.75" customHeight="1">
      <c r="A864" s="3"/>
      <c r="B864" s="3"/>
    </row>
    <row r="865" ht="15.75" customHeight="1">
      <c r="A865" s="3"/>
      <c r="B865" s="3"/>
    </row>
    <row r="866" ht="15.75" customHeight="1">
      <c r="A866" s="3"/>
      <c r="B866" s="3"/>
    </row>
    <row r="867" ht="15.75" customHeight="1">
      <c r="A867" s="3"/>
      <c r="B867" s="3"/>
    </row>
    <row r="868" ht="15.75" customHeight="1">
      <c r="A868" s="3"/>
      <c r="B868" s="3"/>
    </row>
    <row r="869" ht="15.75" customHeight="1">
      <c r="A869" s="3"/>
      <c r="B869" s="3"/>
    </row>
    <row r="870" ht="15.75" customHeight="1">
      <c r="A870" s="3"/>
      <c r="B870" s="3"/>
    </row>
    <row r="871" ht="15.75" customHeight="1">
      <c r="A871" s="3"/>
      <c r="B871" s="3"/>
    </row>
    <row r="872" ht="15.75" customHeight="1">
      <c r="A872" s="3"/>
      <c r="B872" s="3"/>
    </row>
    <row r="873" ht="15.75" customHeight="1">
      <c r="A873" s="3"/>
      <c r="B873" s="3"/>
    </row>
    <row r="874" ht="15.75" customHeight="1">
      <c r="A874" s="3"/>
      <c r="B874" s="3"/>
    </row>
    <row r="875" ht="15.75" customHeight="1">
      <c r="A875" s="3"/>
      <c r="B875" s="3"/>
    </row>
    <row r="876" ht="15.75" customHeight="1">
      <c r="A876" s="3"/>
      <c r="B876" s="3"/>
    </row>
    <row r="877" ht="15.75" customHeight="1">
      <c r="A877" s="3"/>
      <c r="B877" s="3"/>
    </row>
    <row r="878" ht="15.75" customHeight="1">
      <c r="A878" s="3"/>
      <c r="B878" s="3"/>
    </row>
    <row r="879" ht="15.75" customHeight="1">
      <c r="A879" s="3"/>
      <c r="B879" s="3"/>
    </row>
    <row r="880" ht="15.75" customHeight="1">
      <c r="A880" s="3"/>
      <c r="B880" s="3"/>
    </row>
    <row r="881" ht="15.75" customHeight="1">
      <c r="A881" s="3"/>
      <c r="B881" s="3"/>
    </row>
    <row r="882" ht="15.75" customHeight="1">
      <c r="A882" s="3"/>
      <c r="B882" s="3"/>
    </row>
    <row r="883" ht="15.75" customHeight="1">
      <c r="A883" s="3"/>
      <c r="B883" s="3"/>
    </row>
    <row r="884" ht="15.75" customHeight="1">
      <c r="A884" s="3"/>
      <c r="B884" s="3"/>
    </row>
    <row r="885" ht="15.75" customHeight="1">
      <c r="A885" s="3"/>
      <c r="B885" s="3"/>
    </row>
    <row r="886" ht="15.75" customHeight="1">
      <c r="A886" s="3"/>
      <c r="B886" s="3"/>
    </row>
    <row r="887" ht="15.75" customHeight="1">
      <c r="A887" s="3"/>
      <c r="B887" s="3"/>
    </row>
    <row r="888" ht="15.75" customHeight="1">
      <c r="A888" s="3"/>
      <c r="B888" s="3"/>
    </row>
    <row r="889" ht="15.75" customHeight="1">
      <c r="A889" s="3"/>
      <c r="B889" s="3"/>
    </row>
    <row r="890" ht="15.75" customHeight="1">
      <c r="A890" s="3"/>
      <c r="B890" s="3"/>
    </row>
    <row r="891" ht="15.75" customHeight="1">
      <c r="A891" s="3"/>
      <c r="B891" s="3"/>
    </row>
    <row r="892" ht="15.75" customHeight="1">
      <c r="A892" s="3"/>
      <c r="B892" s="3"/>
    </row>
    <row r="893" ht="15.75" customHeight="1">
      <c r="A893" s="3"/>
      <c r="B893" s="3"/>
    </row>
    <row r="894" ht="15.75" customHeight="1">
      <c r="A894" s="3"/>
      <c r="B894" s="3"/>
    </row>
    <row r="895" ht="15.75" customHeight="1">
      <c r="A895" s="3"/>
      <c r="B895" s="3"/>
    </row>
    <row r="896" ht="15.75" customHeight="1">
      <c r="A896" s="3"/>
      <c r="B896" s="3"/>
    </row>
    <row r="897" ht="15.75" customHeight="1">
      <c r="A897" s="3"/>
      <c r="B897" s="3"/>
    </row>
    <row r="898" ht="15.75" customHeight="1">
      <c r="A898" s="3"/>
      <c r="B898" s="3"/>
    </row>
    <row r="899" ht="15.75" customHeight="1">
      <c r="A899" s="3"/>
      <c r="B899" s="3"/>
    </row>
    <row r="900" ht="15.75" customHeight="1">
      <c r="A900" s="3"/>
      <c r="B900" s="3"/>
    </row>
    <row r="901" ht="15.75" customHeight="1">
      <c r="A901" s="3"/>
      <c r="B901" s="3"/>
    </row>
    <row r="902" ht="15.75" customHeight="1">
      <c r="A902" s="3"/>
      <c r="B902" s="3"/>
    </row>
    <row r="903" ht="15.75" customHeight="1">
      <c r="A903" s="3"/>
      <c r="B903" s="3"/>
    </row>
    <row r="904" ht="15.75" customHeight="1">
      <c r="A904" s="3"/>
      <c r="B904" s="3"/>
    </row>
    <row r="905" ht="15.75" customHeight="1">
      <c r="A905" s="3"/>
      <c r="B905" s="3"/>
    </row>
    <row r="906" ht="15.75" customHeight="1">
      <c r="A906" s="3"/>
      <c r="B906" s="3"/>
    </row>
    <row r="907" ht="15.75" customHeight="1">
      <c r="A907" s="3"/>
      <c r="B907" s="3"/>
    </row>
    <row r="908" ht="15.75" customHeight="1">
      <c r="A908" s="3"/>
      <c r="B908" s="3"/>
    </row>
    <row r="909" ht="15.75" customHeight="1">
      <c r="A909" s="3"/>
      <c r="B909" s="3"/>
    </row>
    <row r="910" ht="15.75" customHeight="1">
      <c r="A910" s="3"/>
      <c r="B910" s="3"/>
    </row>
    <row r="911" ht="15.75" customHeight="1">
      <c r="A911" s="3"/>
      <c r="B911" s="3"/>
    </row>
    <row r="912" ht="15.75" customHeight="1">
      <c r="A912" s="3"/>
      <c r="B912" s="3"/>
    </row>
    <row r="913" ht="15.75" customHeight="1">
      <c r="A913" s="3"/>
      <c r="B913" s="3"/>
    </row>
    <row r="914" ht="15.75" customHeight="1">
      <c r="A914" s="3"/>
      <c r="B914" s="3"/>
    </row>
    <row r="915" ht="15.75" customHeight="1">
      <c r="A915" s="3"/>
      <c r="B915" s="3"/>
    </row>
    <row r="916" ht="15.75" customHeight="1">
      <c r="A916" s="3"/>
      <c r="B916" s="3"/>
    </row>
    <row r="917" ht="15.75" customHeight="1">
      <c r="A917" s="3"/>
      <c r="B917" s="3"/>
    </row>
    <row r="918" ht="15.75" customHeight="1">
      <c r="A918" s="3"/>
      <c r="B918" s="3"/>
    </row>
    <row r="919" ht="15.75" customHeight="1">
      <c r="A919" s="3"/>
      <c r="B919" s="3"/>
    </row>
    <row r="920" ht="15.75" customHeight="1">
      <c r="A920" s="3"/>
      <c r="B920" s="3"/>
    </row>
    <row r="921" ht="15.75" customHeight="1">
      <c r="A921" s="3"/>
      <c r="B921" s="3"/>
    </row>
    <row r="922" ht="15.75" customHeight="1">
      <c r="A922" s="3"/>
      <c r="B922" s="3"/>
    </row>
    <row r="923" ht="15.75" customHeight="1">
      <c r="A923" s="3"/>
      <c r="B923" s="3"/>
    </row>
    <row r="924" ht="15.75" customHeight="1">
      <c r="A924" s="3"/>
      <c r="B924" s="3"/>
    </row>
    <row r="925" ht="15.75" customHeight="1">
      <c r="A925" s="3"/>
      <c r="B925" s="3"/>
    </row>
    <row r="926" ht="15.75" customHeight="1">
      <c r="A926" s="3"/>
      <c r="B926" s="3"/>
    </row>
    <row r="927" ht="15.75" customHeight="1">
      <c r="A927" s="3"/>
      <c r="B927" s="3"/>
    </row>
    <row r="928" ht="15.75" customHeight="1">
      <c r="A928" s="3"/>
      <c r="B928" s="3"/>
    </row>
    <row r="929" ht="15.75" customHeight="1">
      <c r="A929" s="3"/>
      <c r="B929" s="3"/>
    </row>
    <row r="930" ht="15.75" customHeight="1">
      <c r="A930" s="3"/>
      <c r="B930" s="3"/>
    </row>
    <row r="931" ht="15.75" customHeight="1">
      <c r="A931" s="3"/>
      <c r="B931" s="3"/>
    </row>
    <row r="932" ht="15.75" customHeight="1">
      <c r="A932" s="3"/>
      <c r="B932" s="3"/>
    </row>
    <row r="933" ht="15.75" customHeight="1">
      <c r="A933" s="3"/>
      <c r="B933" s="3"/>
    </row>
    <row r="934" ht="15.75" customHeight="1">
      <c r="A934" s="3"/>
      <c r="B934" s="3"/>
    </row>
    <row r="935" ht="15.75" customHeight="1">
      <c r="A935" s="3"/>
      <c r="B935" s="3"/>
    </row>
    <row r="936" ht="15.75" customHeight="1">
      <c r="A936" s="3"/>
      <c r="B936" s="3"/>
    </row>
    <row r="937" ht="15.75" customHeight="1">
      <c r="A937" s="3"/>
      <c r="B937" s="3"/>
    </row>
    <row r="938" ht="15.75" customHeight="1">
      <c r="A938" s="3"/>
      <c r="B938" s="3"/>
    </row>
    <row r="939" ht="15.75" customHeight="1">
      <c r="A939" s="3"/>
      <c r="B939" s="3"/>
    </row>
    <row r="940" ht="15.75" customHeight="1">
      <c r="A940" s="3"/>
      <c r="B940" s="3"/>
    </row>
    <row r="941" ht="15.75" customHeight="1">
      <c r="A941" s="3"/>
      <c r="B941" s="3"/>
    </row>
    <row r="942" ht="15.75" customHeight="1">
      <c r="A942" s="3"/>
      <c r="B942" s="3"/>
    </row>
    <row r="943" ht="15.75" customHeight="1">
      <c r="A943" s="3"/>
      <c r="B943" s="3"/>
    </row>
    <row r="944" ht="15.75" customHeight="1">
      <c r="A944" s="3"/>
      <c r="B944" s="3"/>
    </row>
    <row r="945" ht="15.75" customHeight="1">
      <c r="A945" s="3"/>
      <c r="B945" s="3"/>
    </row>
    <row r="946" ht="15.75" customHeight="1">
      <c r="A946" s="3"/>
      <c r="B946" s="3"/>
    </row>
    <row r="947" ht="15.75" customHeight="1">
      <c r="A947" s="3"/>
      <c r="B947" s="3"/>
    </row>
    <row r="948" ht="15.75" customHeight="1">
      <c r="A948" s="3"/>
      <c r="B948" s="3"/>
    </row>
    <row r="949" ht="15.75" customHeight="1">
      <c r="A949" s="3"/>
      <c r="B949" s="3"/>
    </row>
    <row r="950" ht="15.75" customHeight="1">
      <c r="A950" s="3"/>
      <c r="B950" s="3"/>
    </row>
    <row r="951" ht="15.75" customHeight="1">
      <c r="A951" s="3"/>
      <c r="B951" s="3"/>
    </row>
    <row r="952" ht="15.75" customHeight="1">
      <c r="A952" s="3"/>
      <c r="B952" s="3"/>
    </row>
    <row r="953" ht="15.75" customHeight="1">
      <c r="A953" s="3"/>
      <c r="B953" s="3"/>
    </row>
    <row r="954" ht="15.75" customHeight="1">
      <c r="A954" s="3"/>
      <c r="B954" s="3"/>
    </row>
    <row r="955" ht="15.75" customHeight="1">
      <c r="A955" s="3"/>
      <c r="B955" s="3"/>
    </row>
    <row r="956" ht="15.75" customHeight="1">
      <c r="A956" s="3"/>
      <c r="B956" s="3"/>
    </row>
    <row r="957" ht="15.75" customHeight="1">
      <c r="A957" s="3"/>
      <c r="B957" s="3"/>
    </row>
    <row r="958" ht="15.75" customHeight="1">
      <c r="A958" s="3"/>
      <c r="B958" s="3"/>
    </row>
    <row r="959" ht="15.75" customHeight="1">
      <c r="A959" s="3"/>
      <c r="B959" s="3"/>
    </row>
    <row r="960" ht="15.75" customHeight="1">
      <c r="A960" s="3"/>
      <c r="B960" s="3"/>
    </row>
    <row r="961" ht="15.75" customHeight="1">
      <c r="A961" s="3"/>
      <c r="B961" s="3"/>
    </row>
    <row r="962" ht="15.75" customHeight="1">
      <c r="A962" s="3"/>
      <c r="B962" s="3"/>
    </row>
    <row r="963" ht="15.75" customHeight="1">
      <c r="A963" s="3"/>
      <c r="B963" s="3"/>
    </row>
    <row r="964" ht="15.75" customHeight="1">
      <c r="A964" s="3"/>
      <c r="B964" s="3"/>
    </row>
    <row r="965" ht="15.75" customHeight="1">
      <c r="A965" s="3"/>
      <c r="B965" s="3"/>
    </row>
    <row r="966" ht="15.75" customHeight="1">
      <c r="A966" s="3"/>
      <c r="B966" s="3"/>
    </row>
    <row r="967" ht="15.75" customHeight="1">
      <c r="A967" s="3"/>
      <c r="B967" s="3"/>
    </row>
    <row r="968" ht="15.75" customHeight="1">
      <c r="A968" s="3"/>
      <c r="B968" s="3"/>
    </row>
    <row r="969" ht="15.75" customHeight="1">
      <c r="A969" s="3"/>
      <c r="B969" s="3"/>
    </row>
    <row r="970" ht="15.75" customHeight="1">
      <c r="A970" s="3"/>
      <c r="B970" s="3"/>
    </row>
    <row r="971" ht="15.75" customHeight="1">
      <c r="A971" s="3"/>
      <c r="B971" s="3"/>
    </row>
    <row r="972" ht="15.75" customHeight="1">
      <c r="A972" s="3"/>
      <c r="B972" s="3"/>
    </row>
    <row r="973" ht="15.75" customHeight="1">
      <c r="A973" s="3"/>
      <c r="B973" s="3"/>
    </row>
    <row r="974" ht="15.75" customHeight="1">
      <c r="A974" s="3"/>
      <c r="B974" s="3"/>
    </row>
    <row r="975" ht="15.75" customHeight="1">
      <c r="A975" s="3"/>
      <c r="B975" s="3"/>
    </row>
    <row r="976" ht="15.75" customHeight="1">
      <c r="A976" s="3"/>
      <c r="B976" s="3"/>
    </row>
    <row r="977" ht="15.75" customHeight="1">
      <c r="A977" s="3"/>
      <c r="B977" s="3"/>
    </row>
    <row r="978" ht="15.75" customHeight="1">
      <c r="A978" s="3"/>
      <c r="B978" s="3"/>
    </row>
    <row r="979" ht="15.75" customHeight="1">
      <c r="A979" s="3"/>
      <c r="B979" s="3"/>
    </row>
    <row r="980" ht="15.75" customHeight="1">
      <c r="A980" s="3"/>
      <c r="B980" s="3"/>
    </row>
    <row r="981" ht="15.75" customHeight="1">
      <c r="A981" s="3"/>
      <c r="B981" s="3"/>
    </row>
    <row r="982" ht="15.75" customHeight="1">
      <c r="A982" s="3"/>
      <c r="B982" s="3"/>
    </row>
    <row r="983" ht="15.75" customHeight="1">
      <c r="A983" s="3"/>
      <c r="B983" s="3"/>
    </row>
    <row r="984" ht="15.75" customHeight="1">
      <c r="A984" s="3"/>
      <c r="B984" s="3"/>
    </row>
    <row r="985" ht="15.75" customHeight="1">
      <c r="A985" s="3"/>
      <c r="B985" s="3"/>
    </row>
    <row r="986" ht="15.75" customHeight="1">
      <c r="A986" s="3"/>
      <c r="B986" s="3"/>
    </row>
    <row r="987" ht="15.75" customHeight="1">
      <c r="A987" s="3"/>
      <c r="B987" s="3"/>
    </row>
    <row r="988" ht="15.75" customHeight="1">
      <c r="A988" s="3"/>
      <c r="B988" s="3"/>
    </row>
    <row r="989" ht="15.75" customHeight="1">
      <c r="A989" s="3"/>
      <c r="B989" s="3"/>
    </row>
    <row r="990" ht="15.75" customHeight="1">
      <c r="A990" s="3"/>
      <c r="B990" s="3"/>
    </row>
    <row r="991" ht="15.75" customHeight="1">
      <c r="A991" s="3"/>
      <c r="B991" s="3"/>
    </row>
    <row r="992" ht="15.75" customHeight="1">
      <c r="A992" s="3"/>
      <c r="B992" s="3"/>
    </row>
    <row r="993" ht="15.75" customHeight="1">
      <c r="A993" s="3"/>
      <c r="B993" s="3"/>
    </row>
    <row r="994" ht="15.75" customHeight="1">
      <c r="A994" s="3"/>
      <c r="B994" s="3"/>
    </row>
    <row r="995" ht="15.75" customHeight="1">
      <c r="A995" s="3"/>
      <c r="B995" s="3"/>
    </row>
    <row r="996" ht="15.75" customHeight="1">
      <c r="A996" s="3"/>
      <c r="B996" s="3"/>
    </row>
    <row r="997" ht="15.75" customHeight="1">
      <c r="A997" s="3"/>
      <c r="B997" s="3"/>
    </row>
    <row r="998" ht="15.75" customHeight="1">
      <c r="A998" s="3"/>
      <c r="B998" s="3"/>
    </row>
    <row r="999" ht="15.75" customHeight="1">
      <c r="A999" s="3"/>
      <c r="B999" s="3"/>
    </row>
    <row r="1000" ht="15.75" customHeight="1">
      <c r="A1000" s="3"/>
      <c r="B1000" s="3"/>
    </row>
  </sheetData>
  <mergeCells count="1">
    <mergeCell ref="A1:D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47.14"/>
    <col customWidth="1" min="2" max="2" width="42.0"/>
    <col customWidth="1" min="3" max="3" width="58.0"/>
    <col customWidth="1" min="4" max="4" width="54.0"/>
    <col customWidth="1" min="5" max="5" width="22.0"/>
    <col customWidth="1" min="6" max="6" width="58.0"/>
    <col customWidth="1" min="7" max="7" width="24.0"/>
    <col customWidth="1" min="8" max="8" width="58.0"/>
    <col customWidth="1" min="9" max="9" width="16.0"/>
    <col customWidth="1" min="10" max="10" width="10.0"/>
    <col customWidth="1" min="11" max="11" width="16.0"/>
    <col customWidth="1" min="12" max="12" width="58.0"/>
  </cols>
  <sheetData>
    <row r="1" ht="21.0" customHeight="1">
      <c r="A1" s="4" t="s">
        <v>15</v>
      </c>
      <c r="B1" s="5" t="s">
        <v>16</v>
      </c>
      <c r="C1" s="6"/>
      <c r="D1" s="6"/>
      <c r="E1" s="6"/>
      <c r="F1" s="6"/>
      <c r="G1" s="6"/>
      <c r="H1" s="6"/>
      <c r="I1" s="6"/>
      <c r="J1" s="6"/>
      <c r="K1" s="6"/>
      <c r="L1" s="6"/>
      <c r="M1" s="6"/>
      <c r="N1" s="6"/>
      <c r="O1" s="6"/>
      <c r="P1" s="6"/>
      <c r="Q1" s="6"/>
      <c r="R1" s="6"/>
      <c r="S1" s="6"/>
      <c r="T1" s="6"/>
      <c r="U1" s="6"/>
      <c r="V1" s="6"/>
      <c r="W1" s="6"/>
      <c r="X1" s="6"/>
      <c r="Y1" s="6"/>
      <c r="Z1" s="6"/>
    </row>
    <row r="2" ht="21.0" customHeight="1">
      <c r="A2" s="4" t="s">
        <v>17</v>
      </c>
      <c r="B2" s="5" t="s">
        <v>18</v>
      </c>
      <c r="C2" s="6"/>
      <c r="D2" s="6"/>
      <c r="E2" s="6"/>
      <c r="F2" s="6"/>
      <c r="G2" s="6"/>
      <c r="H2" s="6"/>
      <c r="I2" s="6"/>
      <c r="J2" s="6"/>
      <c r="K2" s="6"/>
      <c r="L2" s="6"/>
      <c r="M2" s="6"/>
      <c r="N2" s="6"/>
      <c r="O2" s="6"/>
      <c r="P2" s="6"/>
      <c r="Q2" s="6"/>
      <c r="R2" s="6"/>
      <c r="S2" s="6"/>
      <c r="T2" s="6"/>
      <c r="U2" s="6"/>
      <c r="V2" s="6"/>
      <c r="W2" s="6"/>
      <c r="X2" s="6"/>
      <c r="Y2" s="6"/>
      <c r="Z2" s="6"/>
    </row>
    <row r="3" ht="21.0" customHeight="1">
      <c r="A3" s="4" t="s">
        <v>19</v>
      </c>
      <c r="B3" s="5" t="s">
        <v>20</v>
      </c>
      <c r="C3" s="6"/>
      <c r="D3" s="6"/>
      <c r="E3" s="6"/>
      <c r="F3" s="6"/>
      <c r="G3" s="6"/>
      <c r="H3" s="6"/>
      <c r="I3" s="6"/>
      <c r="J3" s="6"/>
      <c r="K3" s="6"/>
      <c r="L3" s="6"/>
      <c r="M3" s="6"/>
      <c r="N3" s="6"/>
      <c r="O3" s="6"/>
      <c r="P3" s="6"/>
      <c r="Q3" s="6"/>
      <c r="R3" s="6"/>
      <c r="S3" s="6"/>
      <c r="T3" s="6"/>
      <c r="U3" s="6"/>
      <c r="V3" s="6"/>
      <c r="W3" s="6"/>
      <c r="X3" s="6"/>
      <c r="Y3" s="6"/>
      <c r="Z3" s="6"/>
    </row>
    <row r="4" ht="21.0" customHeight="1">
      <c r="A4" s="6"/>
      <c r="B4" s="6"/>
      <c r="C4" s="6"/>
      <c r="D4" s="6"/>
      <c r="E4" s="6"/>
      <c r="F4" s="6"/>
      <c r="G4" s="6"/>
      <c r="H4" s="6"/>
      <c r="I4" s="6"/>
      <c r="J4" s="6"/>
      <c r="K4" s="6"/>
      <c r="L4" s="6"/>
      <c r="M4" s="6"/>
      <c r="N4" s="6"/>
      <c r="O4" s="6"/>
      <c r="P4" s="6"/>
      <c r="Q4" s="6"/>
      <c r="R4" s="6"/>
      <c r="S4" s="6"/>
      <c r="T4" s="6"/>
      <c r="U4" s="6"/>
      <c r="V4" s="6"/>
      <c r="W4" s="6"/>
      <c r="X4" s="6"/>
      <c r="Y4" s="6"/>
      <c r="Z4" s="6"/>
    </row>
    <row r="5" ht="21.0" customHeight="1">
      <c r="A5" s="7" t="s">
        <v>21</v>
      </c>
      <c r="B5" s="7" t="s">
        <v>22</v>
      </c>
      <c r="C5" s="7" t="s">
        <v>23</v>
      </c>
      <c r="D5" s="7" t="s">
        <v>24</v>
      </c>
      <c r="E5" s="7" t="s">
        <v>25</v>
      </c>
      <c r="F5" s="7" t="s">
        <v>26</v>
      </c>
      <c r="G5" s="7" t="s">
        <v>27</v>
      </c>
      <c r="H5" s="7" t="s">
        <v>28</v>
      </c>
      <c r="I5" s="7" t="s">
        <v>29</v>
      </c>
      <c r="J5" s="7" t="s">
        <v>30</v>
      </c>
      <c r="K5" s="7" t="s">
        <v>31</v>
      </c>
      <c r="L5" s="7" t="s">
        <v>32</v>
      </c>
      <c r="M5" s="6"/>
      <c r="N5" s="6"/>
      <c r="O5" s="6"/>
      <c r="P5" s="6"/>
      <c r="Q5" s="6"/>
      <c r="R5" s="6"/>
      <c r="S5" s="6"/>
      <c r="T5" s="6"/>
      <c r="U5" s="6"/>
      <c r="V5" s="6"/>
      <c r="W5" s="6"/>
      <c r="X5" s="6"/>
      <c r="Y5" s="6"/>
      <c r="Z5" s="6"/>
    </row>
    <row r="6" ht="21.0" customHeight="1">
      <c r="A6" s="8" t="s">
        <v>33</v>
      </c>
      <c r="B6" s="9" t="s">
        <v>34</v>
      </c>
      <c r="C6" s="10" t="str">
        <f t="shared" ref="C6:C86" si="1">$B$1&amp;B6</f>
        <v>https://jonathan-harris.online/</v>
      </c>
      <c r="D6" s="11" t="s">
        <v>35</v>
      </c>
      <c r="E6" s="11" t="s">
        <v>36</v>
      </c>
      <c r="F6" s="12"/>
      <c r="G6" s="12"/>
      <c r="H6" s="11"/>
      <c r="I6" s="11" t="str">
        <f>IFERROR(VLOOKUP($F6,'BuyNow Redirects'!$C$2:$J$37,5,FALSE),"")</f>
        <v/>
      </c>
      <c r="J6" s="13" t="str">
        <f>IFERROR(VLOOKUP($F6,'BuyNow Redirects'!$C$2:$J$37,6,FALSE),"")</f>
        <v/>
      </c>
      <c r="K6" s="14" t="str">
        <f>IFERROR(VLOOKUP($F6,'BuyNow Redirects'!$C$2:$J$37,7,FALSE),"")</f>
        <v/>
      </c>
      <c r="L6" s="12" t="str">
        <f>IFERROR(VLOOKUP($F6,'BuyNow Redirects'!$C$2:$J$37,8,FALSE),"")</f>
        <v/>
      </c>
      <c r="M6" s="6"/>
      <c r="N6" s="6"/>
      <c r="O6" s="6"/>
      <c r="P6" s="6"/>
      <c r="Q6" s="6"/>
      <c r="R6" s="6"/>
      <c r="S6" s="6"/>
      <c r="T6" s="6"/>
      <c r="U6" s="6"/>
      <c r="V6" s="6"/>
      <c r="W6" s="6"/>
      <c r="X6" s="6"/>
      <c r="Y6" s="6"/>
      <c r="Z6" s="6"/>
    </row>
    <row r="7" ht="21.0" customHeight="1">
      <c r="A7" s="15" t="s">
        <v>37</v>
      </c>
      <c r="B7" s="16" t="s">
        <v>38</v>
      </c>
      <c r="C7" s="17" t="str">
        <f t="shared" si="1"/>
        <v>https://jonathan-harris.online/404</v>
      </c>
      <c r="D7" s="18" t="s">
        <v>39</v>
      </c>
      <c r="E7" s="18" t="s">
        <v>36</v>
      </c>
      <c r="F7" s="19"/>
      <c r="G7" s="19"/>
      <c r="H7" s="20"/>
      <c r="I7" s="18" t="str">
        <f>IFERROR(VLOOKUP($F7,'BuyNow Redirects'!$C$2:$J$37,5,FALSE),"")</f>
        <v/>
      </c>
      <c r="J7" s="21" t="str">
        <f>IFERROR(VLOOKUP($F7,'BuyNow Redirects'!$C$2:$J$37,6,FALSE),"")</f>
        <v/>
      </c>
      <c r="K7" s="22" t="str">
        <f>IFERROR(VLOOKUP($F7,'BuyNow Redirects'!$C$2:$J$37,7,FALSE),"")</f>
        <v/>
      </c>
      <c r="L7" s="19" t="str">
        <f>IFERROR(VLOOKUP($F7,'BuyNow Redirects'!$C$2:$J$37,8,FALSE),"")</f>
        <v/>
      </c>
      <c r="M7" s="6"/>
      <c r="N7" s="6"/>
      <c r="O7" s="6"/>
      <c r="P7" s="6"/>
      <c r="Q7" s="6"/>
      <c r="R7" s="6"/>
      <c r="S7" s="6"/>
      <c r="T7" s="6"/>
      <c r="U7" s="6"/>
      <c r="V7" s="6"/>
      <c r="W7" s="6"/>
      <c r="X7" s="6"/>
      <c r="Y7" s="6"/>
      <c r="Z7" s="6"/>
    </row>
    <row r="8" ht="21.0" customHeight="1">
      <c r="A8" s="8" t="s">
        <v>40</v>
      </c>
      <c r="B8" s="9" t="s">
        <v>41</v>
      </c>
      <c r="C8" s="10" t="str">
        <f t="shared" si="1"/>
        <v>https://jonathan-harris.online/affiliate/</v>
      </c>
      <c r="D8" s="11" t="s">
        <v>42</v>
      </c>
      <c r="E8" s="11" t="s">
        <v>36</v>
      </c>
      <c r="F8" s="12"/>
      <c r="G8" s="12"/>
      <c r="H8" s="11"/>
      <c r="I8" s="11" t="str">
        <f>IFERROR(VLOOKUP($F8,'BuyNow Redirects'!$C$2:$J$37,5,FALSE),"")</f>
        <v/>
      </c>
      <c r="J8" s="13" t="str">
        <f>IFERROR(VLOOKUP($F8,'BuyNow Redirects'!$C$2:$J$37,6,FALSE),"")</f>
        <v/>
      </c>
      <c r="K8" s="14" t="str">
        <f>IFERROR(VLOOKUP($F8,'BuyNow Redirects'!$C$2:$J$37,7,FALSE),"")</f>
        <v/>
      </c>
      <c r="L8" s="12" t="str">
        <f>IFERROR(VLOOKUP($F8,'BuyNow Redirects'!$C$2:$J$37,8,FALSE),"")</f>
        <v/>
      </c>
      <c r="M8" s="6"/>
      <c r="N8" s="6"/>
      <c r="O8" s="6"/>
      <c r="P8" s="6"/>
      <c r="Q8" s="6"/>
      <c r="R8" s="6"/>
      <c r="S8" s="6"/>
      <c r="T8" s="6"/>
      <c r="U8" s="6"/>
      <c r="V8" s="6"/>
      <c r="W8" s="6"/>
      <c r="X8" s="6"/>
      <c r="Y8" s="6"/>
      <c r="Z8" s="6"/>
    </row>
    <row r="9" ht="21.0" customHeight="1">
      <c r="A9" s="15" t="s">
        <v>43</v>
      </c>
      <c r="B9" s="16" t="s">
        <v>44</v>
      </c>
      <c r="C9" s="17" t="str">
        <f t="shared" si="1"/>
        <v>https://jonathan-harris.online/topics/ai-for-beginners/</v>
      </c>
      <c r="D9" s="18" t="s">
        <v>45</v>
      </c>
      <c r="E9" s="18" t="s">
        <v>36</v>
      </c>
      <c r="F9" s="19"/>
      <c r="G9" s="19"/>
      <c r="H9" s="20"/>
      <c r="I9" s="18" t="str">
        <f>IFERROR(VLOOKUP($F9,'BuyNow Redirects'!$C$2:$J$37,5,FALSE),"")</f>
        <v/>
      </c>
      <c r="J9" s="21" t="str">
        <f>IFERROR(VLOOKUP($F9,'BuyNow Redirects'!$C$2:$J$37,6,FALSE),"")</f>
        <v/>
      </c>
      <c r="K9" s="22" t="str">
        <f>IFERROR(VLOOKUP($F9,'BuyNow Redirects'!$C$2:$J$37,7,FALSE),"")</f>
        <v/>
      </c>
      <c r="L9" s="19" t="str">
        <f>IFERROR(VLOOKUP($F9,'BuyNow Redirects'!$C$2:$J$37,8,FALSE),"")</f>
        <v/>
      </c>
      <c r="M9" s="6"/>
      <c r="N9" s="6"/>
      <c r="O9" s="6"/>
      <c r="P9" s="6"/>
      <c r="Q9" s="6"/>
      <c r="R9" s="6"/>
      <c r="S9" s="6"/>
      <c r="T9" s="6"/>
      <c r="U9" s="6"/>
      <c r="V9" s="6"/>
      <c r="W9" s="6"/>
      <c r="X9" s="6"/>
      <c r="Y9" s="6"/>
      <c r="Z9" s="6"/>
    </row>
    <row r="10" ht="21.0" customHeight="1">
      <c r="A10" s="8" t="s">
        <v>46</v>
      </c>
      <c r="B10" s="9" t="s">
        <v>47</v>
      </c>
      <c r="C10" s="10" t="str">
        <f t="shared" si="1"/>
        <v>https://jonathan-harris.online/topics/ai-in-business/</v>
      </c>
      <c r="D10" s="11" t="s">
        <v>48</v>
      </c>
      <c r="E10" s="11" t="s">
        <v>36</v>
      </c>
      <c r="F10" s="12"/>
      <c r="G10" s="12"/>
      <c r="H10" s="20"/>
      <c r="I10" s="11" t="str">
        <f>IFERROR(VLOOKUP($F10,'BuyNow Redirects'!$C$2:$J$37,5,FALSE),"")</f>
        <v/>
      </c>
      <c r="J10" s="13" t="str">
        <f>IFERROR(VLOOKUP($F10,'BuyNow Redirects'!$C$2:$J$37,6,FALSE),"")</f>
        <v/>
      </c>
      <c r="K10" s="14" t="str">
        <f>IFERROR(VLOOKUP($F10,'BuyNow Redirects'!$C$2:$J$37,7,FALSE),"")</f>
        <v/>
      </c>
      <c r="L10" s="12" t="str">
        <f>IFERROR(VLOOKUP($F10,'BuyNow Redirects'!$C$2:$J$37,8,FALSE),"")</f>
        <v/>
      </c>
      <c r="M10" s="6"/>
      <c r="N10" s="6"/>
      <c r="O10" s="6"/>
      <c r="P10" s="6"/>
      <c r="Q10" s="6"/>
      <c r="R10" s="6"/>
      <c r="S10" s="6"/>
      <c r="T10" s="6"/>
      <c r="U10" s="6"/>
      <c r="V10" s="6"/>
      <c r="W10" s="6"/>
      <c r="X10" s="6"/>
      <c r="Y10" s="6"/>
      <c r="Z10" s="6"/>
    </row>
    <row r="11" ht="21.0" customHeight="1">
      <c r="A11" s="15" t="s">
        <v>49</v>
      </c>
      <c r="B11" s="16" t="s">
        <v>50</v>
      </c>
      <c r="C11" s="17" t="str">
        <f t="shared" si="1"/>
        <v>https://jonathan-harris.online/topics/ai-in-healthcare/</v>
      </c>
      <c r="D11" s="18" t="s">
        <v>51</v>
      </c>
      <c r="E11" s="18" t="s">
        <v>36</v>
      </c>
      <c r="F11" s="19"/>
      <c r="G11" s="19"/>
      <c r="H11" s="20"/>
      <c r="I11" s="18" t="str">
        <f>IFERROR(VLOOKUP($F11,'BuyNow Redirects'!$C$2:$J$37,5,FALSE),"")</f>
        <v/>
      </c>
      <c r="J11" s="21" t="str">
        <f>IFERROR(VLOOKUP($F11,'BuyNow Redirects'!$C$2:$J$37,6,FALSE),"")</f>
        <v/>
      </c>
      <c r="K11" s="22" t="str">
        <f>IFERROR(VLOOKUP($F11,'BuyNow Redirects'!$C$2:$J$37,7,FALSE),"")</f>
        <v/>
      </c>
      <c r="L11" s="19" t="str">
        <f>IFERROR(VLOOKUP($F11,'BuyNow Redirects'!$C$2:$J$37,8,FALSE),"")</f>
        <v/>
      </c>
      <c r="M11" s="6"/>
      <c r="N11" s="6"/>
      <c r="O11" s="6"/>
      <c r="P11" s="6"/>
      <c r="Q11" s="6"/>
      <c r="R11" s="6"/>
      <c r="S11" s="6"/>
      <c r="T11" s="6"/>
      <c r="U11" s="6"/>
      <c r="V11" s="6"/>
      <c r="W11" s="6"/>
      <c r="X11" s="6"/>
      <c r="Y11" s="6"/>
      <c r="Z11" s="6"/>
    </row>
    <row r="12" ht="21.0" customHeight="1">
      <c r="A12" s="8" t="s">
        <v>52</v>
      </c>
      <c r="B12" s="9" t="s">
        <v>53</v>
      </c>
      <c r="C12" s="10" t="str">
        <f t="shared" si="1"/>
        <v>https://jonathan-harris.online/api/docs/</v>
      </c>
      <c r="D12" s="11" t="s">
        <v>54</v>
      </c>
      <c r="E12" s="11" t="s">
        <v>36</v>
      </c>
      <c r="F12" s="12"/>
      <c r="G12" s="12"/>
      <c r="H12" s="23"/>
      <c r="I12" s="11" t="str">
        <f>IFERROR(VLOOKUP($F12,'BuyNow Redirects'!$C$2:$J$37,5,FALSE),"")</f>
        <v/>
      </c>
      <c r="J12" s="13" t="str">
        <f>IFERROR(VLOOKUP($F12,'BuyNow Redirects'!$C$2:$J$37,6,FALSE),"")</f>
        <v/>
      </c>
      <c r="K12" s="14" t="str">
        <f>IFERROR(VLOOKUP($F12,'BuyNow Redirects'!$C$2:$J$37,7,FALSE),"")</f>
        <v/>
      </c>
      <c r="L12" s="12" t="str">
        <f>IFERROR(VLOOKUP($F12,'BuyNow Redirects'!$C$2:$J$37,8,FALSE),"")</f>
        <v/>
      </c>
      <c r="M12" s="6"/>
      <c r="N12" s="6"/>
      <c r="O12" s="6"/>
      <c r="P12" s="6"/>
      <c r="Q12" s="6"/>
      <c r="R12" s="6"/>
      <c r="S12" s="6"/>
      <c r="T12" s="6"/>
      <c r="U12" s="6"/>
      <c r="V12" s="6"/>
      <c r="W12" s="6"/>
      <c r="X12" s="6"/>
      <c r="Y12" s="6"/>
      <c r="Z12" s="6"/>
    </row>
    <row r="13" ht="21.0" customHeight="1">
      <c r="A13" s="15" t="s">
        <v>55</v>
      </c>
      <c r="B13" s="16" t="s">
        <v>56</v>
      </c>
      <c r="C13" s="17" t="str">
        <f t="shared" si="1"/>
        <v>https://jonathan-harris.online/bio/</v>
      </c>
      <c r="D13" s="18" t="s">
        <v>57</v>
      </c>
      <c r="E13" s="18" t="s">
        <v>36</v>
      </c>
      <c r="F13" s="19"/>
      <c r="G13" s="19"/>
      <c r="H13" s="20"/>
      <c r="I13" s="18" t="str">
        <f>IFERROR(VLOOKUP($F13,'BuyNow Redirects'!$C$2:$J$37,5,FALSE),"")</f>
        <v/>
      </c>
      <c r="J13" s="21" t="str">
        <f>IFERROR(VLOOKUP($F13,'BuyNow Redirects'!$C$2:$J$37,6,FALSE),"")</f>
        <v/>
      </c>
      <c r="K13" s="22" t="str">
        <f>IFERROR(VLOOKUP($F13,'BuyNow Redirects'!$C$2:$J$37,7,FALSE),"")</f>
        <v/>
      </c>
      <c r="L13" s="19" t="str">
        <f>IFERROR(VLOOKUP($F13,'BuyNow Redirects'!$C$2:$J$37,8,FALSE),"")</f>
        <v/>
      </c>
      <c r="M13" s="6"/>
      <c r="N13" s="6"/>
      <c r="O13" s="6"/>
      <c r="P13" s="6"/>
      <c r="Q13" s="6"/>
      <c r="R13" s="6"/>
      <c r="S13" s="6"/>
      <c r="T13" s="6"/>
      <c r="U13" s="6"/>
      <c r="V13" s="6"/>
      <c r="W13" s="6"/>
      <c r="X13" s="6"/>
      <c r="Y13" s="6"/>
      <c r="Z13" s="6"/>
    </row>
    <row r="14" ht="21.0" customHeight="1">
      <c r="A14" s="8" t="s">
        <v>58</v>
      </c>
      <c r="B14" s="9" t="s">
        <v>59</v>
      </c>
      <c r="C14" s="10" t="str">
        <f t="shared" si="1"/>
        <v>https://jonathan-harris.online/blog/</v>
      </c>
      <c r="D14" s="11" t="s">
        <v>60</v>
      </c>
      <c r="E14" s="11" t="s">
        <v>36</v>
      </c>
      <c r="F14" s="12"/>
      <c r="G14" s="12"/>
      <c r="H14" s="20"/>
      <c r="I14" s="11" t="str">
        <f>IFERROR(VLOOKUP($F14,'BuyNow Redirects'!$C$2:$J$37,5,FALSE),"")</f>
        <v/>
      </c>
      <c r="J14" s="13" t="str">
        <f>IFERROR(VLOOKUP($F14,'BuyNow Redirects'!$C$2:$J$37,6,FALSE),"")</f>
        <v/>
      </c>
      <c r="K14" s="14" t="str">
        <f>IFERROR(VLOOKUP($F14,'BuyNow Redirects'!$C$2:$J$37,7,FALSE),"")</f>
        <v/>
      </c>
      <c r="L14" s="12" t="str">
        <f>IFERROR(VLOOKUP($F14,'BuyNow Redirects'!$C$2:$J$37,8,FALSE),"")</f>
        <v/>
      </c>
      <c r="M14" s="6"/>
      <c r="N14" s="6"/>
      <c r="O14" s="6"/>
      <c r="P14" s="6"/>
      <c r="Q14" s="6"/>
      <c r="R14" s="6"/>
      <c r="S14" s="6"/>
      <c r="T14" s="6"/>
      <c r="U14" s="6"/>
      <c r="V14" s="6"/>
      <c r="W14" s="6"/>
      <c r="X14" s="6"/>
      <c r="Y14" s="6"/>
      <c r="Z14" s="6"/>
    </row>
    <row r="15" ht="21.0" customHeight="1">
      <c r="A15" s="15" t="s">
        <v>61</v>
      </c>
      <c r="B15" s="16" t="s">
        <v>62</v>
      </c>
      <c r="C15" s="17" t="str">
        <f t="shared" si="1"/>
        <v>https://jonathan-harris.online/blog/weekly/</v>
      </c>
      <c r="D15" s="18" t="s">
        <v>63</v>
      </c>
      <c r="E15" s="18" t="s">
        <v>36</v>
      </c>
      <c r="F15" s="19"/>
      <c r="G15" s="19"/>
      <c r="H15" s="20"/>
      <c r="I15" s="18" t="str">
        <f>IFERROR(VLOOKUP($F15,'BuyNow Redirects'!$C$2:$J$37,5,FALSE),"")</f>
        <v/>
      </c>
      <c r="J15" s="21" t="str">
        <f>IFERROR(VLOOKUP($F15,'BuyNow Redirects'!$C$2:$J$37,6,FALSE),"")</f>
        <v/>
      </c>
      <c r="K15" s="22" t="str">
        <f>IFERROR(VLOOKUP($F15,'BuyNow Redirects'!$C$2:$J$37,7,FALSE),"")</f>
        <v/>
      </c>
      <c r="L15" s="19" t="str">
        <f>IFERROR(VLOOKUP($F15,'BuyNow Redirects'!$C$2:$J$37,8,FALSE),"")</f>
        <v/>
      </c>
      <c r="M15" s="6"/>
      <c r="N15" s="6"/>
      <c r="O15" s="6"/>
      <c r="P15" s="6"/>
      <c r="Q15" s="6"/>
      <c r="R15" s="6"/>
      <c r="S15" s="6"/>
      <c r="T15" s="6"/>
      <c r="U15" s="6"/>
      <c r="V15" s="6"/>
      <c r="W15" s="6"/>
      <c r="X15" s="6"/>
      <c r="Y15" s="6"/>
      <c r="Z15" s="6"/>
    </row>
    <row r="16" ht="21.0" customHeight="1">
      <c r="A16" s="8" t="s">
        <v>64</v>
      </c>
      <c r="B16" s="9" t="s">
        <v>65</v>
      </c>
      <c r="C16" s="10" t="str">
        <f t="shared" si="1"/>
        <v>https://jonathan-harris.online/catalogue/agriculture/</v>
      </c>
      <c r="D16" s="11" t="s">
        <v>66</v>
      </c>
      <c r="E16" s="11" t="s">
        <v>36</v>
      </c>
      <c r="F16" s="12"/>
      <c r="G16" s="12"/>
      <c r="H16" s="11"/>
      <c r="I16" s="11" t="str">
        <f>IFERROR(VLOOKUP($F16,'BuyNow Redirects'!$C$2:$J$37,5,FALSE),"")</f>
        <v/>
      </c>
      <c r="J16" s="13" t="str">
        <f>IFERROR(VLOOKUP($F16,'BuyNow Redirects'!$C$2:$J$37,6,FALSE),"")</f>
        <v/>
      </c>
      <c r="K16" s="14" t="str">
        <f>IFERROR(VLOOKUP($F16,'BuyNow Redirects'!$C$2:$J$37,7,FALSE),"")</f>
        <v/>
      </c>
      <c r="L16" s="12" t="str">
        <f>IFERROR(VLOOKUP($F16,'BuyNow Redirects'!$C$2:$J$37,8,FALSE),"")</f>
        <v/>
      </c>
      <c r="M16" s="6"/>
      <c r="N16" s="6"/>
      <c r="O16" s="6"/>
      <c r="P16" s="6"/>
      <c r="Q16" s="6"/>
      <c r="R16" s="6"/>
      <c r="S16" s="6"/>
      <c r="T16" s="6"/>
      <c r="U16" s="6"/>
      <c r="V16" s="6"/>
      <c r="W16" s="6"/>
      <c r="X16" s="6"/>
      <c r="Y16" s="6"/>
      <c r="Z16" s="6"/>
    </row>
    <row r="17" ht="21.0" customHeight="1">
      <c r="A17" s="15" t="s">
        <v>67</v>
      </c>
      <c r="B17" s="16" t="s">
        <v>68</v>
      </c>
      <c r="C17" s="17" t="str">
        <f t="shared" si="1"/>
        <v>https://jonathan-harris.online/catalogue/artificial-intelligence/</v>
      </c>
      <c r="D17" s="18" t="s">
        <v>69</v>
      </c>
      <c r="E17" s="18" t="s">
        <v>36</v>
      </c>
      <c r="F17" s="19"/>
      <c r="G17" s="19"/>
      <c r="H17" s="18"/>
      <c r="I17" s="18" t="str">
        <f>IFERROR(VLOOKUP($F17,'BuyNow Redirects'!$C$2:$J$37,5,FALSE),"")</f>
        <v/>
      </c>
      <c r="J17" s="21" t="str">
        <f>IFERROR(VLOOKUP($F17,'BuyNow Redirects'!$C$2:$J$37,6,FALSE),"")</f>
        <v/>
      </c>
      <c r="K17" s="22" t="str">
        <f>IFERROR(VLOOKUP($F17,'BuyNow Redirects'!$C$2:$J$37,7,FALSE),"")</f>
        <v/>
      </c>
      <c r="L17" s="19" t="str">
        <f>IFERROR(VLOOKUP($F17,'BuyNow Redirects'!$C$2:$J$37,8,FALSE),"")</f>
        <v/>
      </c>
      <c r="M17" s="6"/>
      <c r="N17" s="6"/>
      <c r="O17" s="6"/>
      <c r="P17" s="6"/>
      <c r="Q17" s="6"/>
      <c r="R17" s="6"/>
      <c r="S17" s="6"/>
      <c r="T17" s="6"/>
      <c r="U17" s="6"/>
      <c r="V17" s="6"/>
      <c r="W17" s="6"/>
      <c r="X17" s="6"/>
      <c r="Y17" s="6"/>
      <c r="Z17" s="6"/>
    </row>
    <row r="18" ht="21.0" customHeight="1">
      <c r="A18" s="8" t="s">
        <v>70</v>
      </c>
      <c r="B18" s="9" t="s">
        <v>71</v>
      </c>
      <c r="C18" s="10" t="str">
        <f t="shared" si="1"/>
        <v>https://jonathan-harris.online/catalogue/construction/</v>
      </c>
      <c r="D18" s="11" t="s">
        <v>72</v>
      </c>
      <c r="E18" s="11" t="s">
        <v>36</v>
      </c>
      <c r="F18" s="12"/>
      <c r="G18" s="12"/>
      <c r="H18" s="11"/>
      <c r="I18" s="11" t="str">
        <f>IFERROR(VLOOKUP($F18,'BuyNow Redirects'!$C$2:$J$37,5,FALSE),"")</f>
        <v/>
      </c>
      <c r="J18" s="13" t="str">
        <f>IFERROR(VLOOKUP($F18,'BuyNow Redirects'!$C$2:$J$37,6,FALSE),"")</f>
        <v/>
      </c>
      <c r="K18" s="14" t="str">
        <f>IFERROR(VLOOKUP($F18,'BuyNow Redirects'!$C$2:$J$37,7,FALSE),"")</f>
        <v/>
      </c>
      <c r="L18" s="12" t="str">
        <f>IFERROR(VLOOKUP($F18,'BuyNow Redirects'!$C$2:$J$37,8,FALSE),"")</f>
        <v/>
      </c>
      <c r="M18" s="6"/>
      <c r="N18" s="6"/>
      <c r="O18" s="6"/>
      <c r="P18" s="6"/>
      <c r="Q18" s="6"/>
      <c r="R18" s="6"/>
      <c r="S18" s="6"/>
      <c r="T18" s="6"/>
      <c r="U18" s="6"/>
      <c r="V18" s="6"/>
      <c r="W18" s="6"/>
      <c r="X18" s="6"/>
      <c r="Y18" s="6"/>
      <c r="Z18" s="6"/>
    </row>
    <row r="19" ht="21.0" customHeight="1">
      <c r="A19" s="15" t="s">
        <v>73</v>
      </c>
      <c r="B19" s="16" t="s">
        <v>74</v>
      </c>
      <c r="C19" s="17" t="str">
        <f t="shared" si="1"/>
        <v>https://jonathan-harris.online/catalogue/creativity/</v>
      </c>
      <c r="D19" s="18" t="s">
        <v>75</v>
      </c>
      <c r="E19" s="18" t="s">
        <v>36</v>
      </c>
      <c r="F19" s="19"/>
      <c r="G19" s="19"/>
      <c r="H19" s="18"/>
      <c r="I19" s="18" t="str">
        <f>IFERROR(VLOOKUP($F19,'BuyNow Redirects'!$C$2:$J$37,5,FALSE),"")</f>
        <v/>
      </c>
      <c r="J19" s="21" t="str">
        <f>IFERROR(VLOOKUP($F19,'BuyNow Redirects'!$C$2:$J$37,6,FALSE),"")</f>
        <v/>
      </c>
      <c r="K19" s="22" t="str">
        <f>IFERROR(VLOOKUP($F19,'BuyNow Redirects'!$C$2:$J$37,7,FALSE),"")</f>
        <v/>
      </c>
      <c r="L19" s="19" t="str">
        <f>IFERROR(VLOOKUP($F19,'BuyNow Redirects'!$C$2:$J$37,8,FALSE),"")</f>
        <v/>
      </c>
      <c r="M19" s="6"/>
      <c r="N19" s="6"/>
      <c r="O19" s="6"/>
      <c r="P19" s="6"/>
      <c r="Q19" s="6"/>
      <c r="R19" s="6"/>
      <c r="S19" s="6"/>
      <c r="T19" s="6"/>
      <c r="U19" s="6"/>
      <c r="V19" s="6"/>
      <c r="W19" s="6"/>
      <c r="X19" s="6"/>
      <c r="Y19" s="6"/>
      <c r="Z19" s="6"/>
    </row>
    <row r="20" ht="21.0" customHeight="1">
      <c r="A20" s="8" t="s">
        <v>76</v>
      </c>
      <c r="B20" s="9" t="s">
        <v>77</v>
      </c>
      <c r="C20" s="10" t="str">
        <f t="shared" si="1"/>
        <v>https://jonathan-harris.online/catalogue/cyber-security/</v>
      </c>
      <c r="D20" s="11" t="s">
        <v>78</v>
      </c>
      <c r="E20" s="11" t="s">
        <v>36</v>
      </c>
      <c r="F20" s="12"/>
      <c r="G20" s="12"/>
      <c r="H20" s="11"/>
      <c r="I20" s="11" t="str">
        <f>IFERROR(VLOOKUP($F20,'BuyNow Redirects'!$C$2:$J$37,5,FALSE),"")</f>
        <v/>
      </c>
      <c r="J20" s="13" t="str">
        <f>IFERROR(VLOOKUP($F20,'BuyNow Redirects'!$C$2:$J$37,6,FALSE),"")</f>
        <v/>
      </c>
      <c r="K20" s="14" t="str">
        <f>IFERROR(VLOOKUP($F20,'BuyNow Redirects'!$C$2:$J$37,7,FALSE),"")</f>
        <v/>
      </c>
      <c r="L20" s="12" t="str">
        <f>IFERROR(VLOOKUP($F20,'BuyNow Redirects'!$C$2:$J$37,8,FALSE),"")</f>
        <v/>
      </c>
      <c r="M20" s="6"/>
      <c r="N20" s="6"/>
      <c r="O20" s="6"/>
      <c r="P20" s="6"/>
      <c r="Q20" s="6"/>
      <c r="R20" s="6"/>
      <c r="S20" s="6"/>
      <c r="T20" s="6"/>
      <c r="U20" s="6"/>
      <c r="V20" s="6"/>
      <c r="W20" s="6"/>
      <c r="X20" s="6"/>
      <c r="Y20" s="6"/>
      <c r="Z20" s="6"/>
    </row>
    <row r="21" ht="21.0" customHeight="1">
      <c r="A21" s="15" t="s">
        <v>79</v>
      </c>
      <c r="B21" s="16" t="s">
        <v>80</v>
      </c>
      <c r="C21" s="17" t="str">
        <f t="shared" si="1"/>
        <v>https://jonathan-harris.online/catalogue/defence/</v>
      </c>
      <c r="D21" s="18" t="s">
        <v>81</v>
      </c>
      <c r="E21" s="18" t="s">
        <v>36</v>
      </c>
      <c r="F21" s="19"/>
      <c r="G21" s="19"/>
      <c r="H21" s="18"/>
      <c r="I21" s="18" t="str">
        <f>IFERROR(VLOOKUP($F21,'BuyNow Redirects'!$C$2:$J$37,5,FALSE),"")</f>
        <v/>
      </c>
      <c r="J21" s="21" t="str">
        <f>IFERROR(VLOOKUP($F21,'BuyNow Redirects'!$C$2:$J$37,6,FALSE),"")</f>
        <v/>
      </c>
      <c r="K21" s="22" t="str">
        <f>IFERROR(VLOOKUP($F21,'BuyNow Redirects'!$C$2:$J$37,7,FALSE),"")</f>
        <v/>
      </c>
      <c r="L21" s="19" t="str">
        <f>IFERROR(VLOOKUP($F21,'BuyNow Redirects'!$C$2:$J$37,8,FALSE),"")</f>
        <v/>
      </c>
      <c r="M21" s="6"/>
      <c r="N21" s="6"/>
      <c r="O21" s="6"/>
      <c r="P21" s="6"/>
      <c r="Q21" s="6"/>
      <c r="R21" s="6"/>
      <c r="S21" s="6"/>
      <c r="T21" s="6"/>
      <c r="U21" s="6"/>
      <c r="V21" s="6"/>
      <c r="W21" s="6"/>
      <c r="X21" s="6"/>
      <c r="Y21" s="6"/>
      <c r="Z21" s="6"/>
    </row>
    <row r="22" ht="21.0" customHeight="1">
      <c r="A22" s="8" t="s">
        <v>82</v>
      </c>
      <c r="B22" s="9" t="s">
        <v>83</v>
      </c>
      <c r="C22" s="10" t="str">
        <f t="shared" si="1"/>
        <v>https://jonathan-harris.online/catalogue/education/</v>
      </c>
      <c r="D22" s="11" t="s">
        <v>84</v>
      </c>
      <c r="E22" s="11" t="s">
        <v>36</v>
      </c>
      <c r="F22" s="12"/>
      <c r="G22" s="12"/>
      <c r="H22" s="11"/>
      <c r="I22" s="11" t="str">
        <f>IFERROR(VLOOKUP($F22,'BuyNow Redirects'!$C$2:$J$37,5,FALSE),"")</f>
        <v/>
      </c>
      <c r="J22" s="13" t="str">
        <f>IFERROR(VLOOKUP($F22,'BuyNow Redirects'!$C$2:$J$37,6,FALSE),"")</f>
        <v/>
      </c>
      <c r="K22" s="14" t="str">
        <f>IFERROR(VLOOKUP($F22,'BuyNow Redirects'!$C$2:$J$37,7,FALSE),"")</f>
        <v/>
      </c>
      <c r="L22" s="12" t="str">
        <f>IFERROR(VLOOKUP($F22,'BuyNow Redirects'!$C$2:$J$37,8,FALSE),"")</f>
        <v/>
      </c>
      <c r="M22" s="6"/>
      <c r="N22" s="6"/>
      <c r="O22" s="6"/>
      <c r="P22" s="6"/>
      <c r="Q22" s="6"/>
      <c r="R22" s="6"/>
      <c r="S22" s="6"/>
      <c r="T22" s="6"/>
      <c r="U22" s="6"/>
      <c r="V22" s="6"/>
      <c r="W22" s="6"/>
      <c r="X22" s="6"/>
      <c r="Y22" s="6"/>
      <c r="Z22" s="6"/>
    </row>
    <row r="23" ht="21.0" customHeight="1">
      <c r="A23" s="15" t="s">
        <v>85</v>
      </c>
      <c r="B23" s="16" t="s">
        <v>86</v>
      </c>
      <c r="C23" s="17" t="str">
        <f t="shared" si="1"/>
        <v>https://jonathan-harris.online/catalogue/energy/</v>
      </c>
      <c r="D23" s="18" t="s">
        <v>87</v>
      </c>
      <c r="E23" s="18" t="s">
        <v>36</v>
      </c>
      <c r="F23" s="19"/>
      <c r="G23" s="19"/>
      <c r="H23" s="18"/>
      <c r="I23" s="18" t="str">
        <f>IFERROR(VLOOKUP($F23,'BuyNow Redirects'!$C$2:$J$37,5,FALSE),"")</f>
        <v/>
      </c>
      <c r="J23" s="21" t="str">
        <f>IFERROR(VLOOKUP($F23,'BuyNow Redirects'!$C$2:$J$37,6,FALSE),"")</f>
        <v/>
      </c>
      <c r="K23" s="22" t="str">
        <f>IFERROR(VLOOKUP($F23,'BuyNow Redirects'!$C$2:$J$37,7,FALSE),"")</f>
        <v/>
      </c>
      <c r="L23" s="19" t="str">
        <f>IFERROR(VLOOKUP($F23,'BuyNow Redirects'!$C$2:$J$37,8,FALSE),"")</f>
        <v/>
      </c>
      <c r="M23" s="6"/>
      <c r="N23" s="6"/>
      <c r="O23" s="6"/>
      <c r="P23" s="6"/>
      <c r="Q23" s="6"/>
      <c r="R23" s="6"/>
      <c r="S23" s="6"/>
      <c r="T23" s="6"/>
      <c r="U23" s="6"/>
      <c r="V23" s="6"/>
      <c r="W23" s="6"/>
      <c r="X23" s="6"/>
      <c r="Y23" s="6"/>
      <c r="Z23" s="6"/>
    </row>
    <row r="24" ht="21.0" customHeight="1">
      <c r="A24" s="8" t="s">
        <v>88</v>
      </c>
      <c r="B24" s="9" t="s">
        <v>89</v>
      </c>
      <c r="C24" s="10" t="str">
        <f t="shared" si="1"/>
        <v>https://jonathan-harris.online/catalogue/environment/</v>
      </c>
      <c r="D24" s="11" t="s">
        <v>90</v>
      </c>
      <c r="E24" s="11" t="s">
        <v>36</v>
      </c>
      <c r="F24" s="12"/>
      <c r="G24" s="12"/>
      <c r="H24" s="11"/>
      <c r="I24" s="11" t="str">
        <f>IFERROR(VLOOKUP($F24,'BuyNow Redirects'!$C$2:$J$37,5,FALSE),"")</f>
        <v/>
      </c>
      <c r="J24" s="13" t="str">
        <f>IFERROR(VLOOKUP($F24,'BuyNow Redirects'!$C$2:$J$37,6,FALSE),"")</f>
        <v/>
      </c>
      <c r="K24" s="14" t="str">
        <f>IFERROR(VLOOKUP($F24,'BuyNow Redirects'!$C$2:$J$37,7,FALSE),"")</f>
        <v/>
      </c>
      <c r="L24" s="12" t="str">
        <f>IFERROR(VLOOKUP($F24,'BuyNow Redirects'!$C$2:$J$37,8,FALSE),"")</f>
        <v/>
      </c>
      <c r="M24" s="6"/>
      <c r="N24" s="6"/>
      <c r="O24" s="6"/>
      <c r="P24" s="6"/>
      <c r="Q24" s="6"/>
      <c r="R24" s="6"/>
      <c r="S24" s="6"/>
      <c r="T24" s="6"/>
      <c r="U24" s="6"/>
      <c r="V24" s="6"/>
      <c r="W24" s="6"/>
      <c r="X24" s="6"/>
      <c r="Y24" s="6"/>
      <c r="Z24" s="6"/>
    </row>
    <row r="25" ht="21.0" customHeight="1">
      <c r="A25" s="15" t="s">
        <v>91</v>
      </c>
      <c r="B25" s="16" t="s">
        <v>92</v>
      </c>
      <c r="C25" s="17" t="str">
        <f t="shared" si="1"/>
        <v>https://jonathan-harris.online/catalogue/ethics/</v>
      </c>
      <c r="D25" s="18" t="s">
        <v>93</v>
      </c>
      <c r="E25" s="18" t="s">
        <v>36</v>
      </c>
      <c r="F25" s="19"/>
      <c r="G25" s="19"/>
      <c r="H25" s="18"/>
      <c r="I25" s="18" t="str">
        <f>IFERROR(VLOOKUP($F25,'BuyNow Redirects'!$C$2:$J$37,5,FALSE),"")</f>
        <v/>
      </c>
      <c r="J25" s="21" t="str">
        <f>IFERROR(VLOOKUP($F25,'BuyNow Redirects'!$C$2:$J$37,6,FALSE),"")</f>
        <v/>
      </c>
      <c r="K25" s="22" t="str">
        <f>IFERROR(VLOOKUP($F25,'BuyNow Redirects'!$C$2:$J$37,7,FALSE),"")</f>
        <v/>
      </c>
      <c r="L25" s="19" t="str">
        <f>IFERROR(VLOOKUP($F25,'BuyNow Redirects'!$C$2:$J$37,8,FALSE),"")</f>
        <v/>
      </c>
      <c r="M25" s="6"/>
      <c r="N25" s="6"/>
      <c r="O25" s="6"/>
      <c r="P25" s="6"/>
      <c r="Q25" s="6"/>
      <c r="R25" s="6"/>
      <c r="S25" s="6"/>
      <c r="T25" s="6"/>
      <c r="U25" s="6"/>
      <c r="V25" s="6"/>
      <c r="W25" s="6"/>
      <c r="X25" s="6"/>
      <c r="Y25" s="6"/>
      <c r="Z25" s="6"/>
    </row>
    <row r="26" ht="21.0" customHeight="1">
      <c r="A26" s="8" t="s">
        <v>94</v>
      </c>
      <c r="B26" s="9" t="s">
        <v>95</v>
      </c>
      <c r="C26" s="10" t="str">
        <f t="shared" si="1"/>
        <v>https://jonathan-harris.online/catalogue/finance/</v>
      </c>
      <c r="D26" s="11" t="s">
        <v>96</v>
      </c>
      <c r="E26" s="11" t="s">
        <v>36</v>
      </c>
      <c r="F26" s="12"/>
      <c r="G26" s="12"/>
      <c r="H26" s="11"/>
      <c r="I26" s="11" t="str">
        <f>IFERROR(VLOOKUP($F26,'BuyNow Redirects'!$C$2:$J$37,5,FALSE),"")</f>
        <v/>
      </c>
      <c r="J26" s="13" t="str">
        <f>IFERROR(VLOOKUP($F26,'BuyNow Redirects'!$C$2:$J$37,6,FALSE),"")</f>
        <v/>
      </c>
      <c r="K26" s="14" t="str">
        <f>IFERROR(VLOOKUP($F26,'BuyNow Redirects'!$C$2:$J$37,7,FALSE),"")</f>
        <v/>
      </c>
      <c r="L26" s="12" t="str">
        <f>IFERROR(VLOOKUP($F26,'BuyNow Redirects'!$C$2:$J$37,8,FALSE),"")</f>
        <v/>
      </c>
      <c r="M26" s="6"/>
      <c r="N26" s="6"/>
      <c r="O26" s="6"/>
      <c r="P26" s="6"/>
      <c r="Q26" s="6"/>
      <c r="R26" s="6"/>
      <c r="S26" s="6"/>
      <c r="T26" s="6"/>
      <c r="U26" s="6"/>
      <c r="V26" s="6"/>
      <c r="W26" s="6"/>
      <c r="X26" s="6"/>
      <c r="Y26" s="6"/>
      <c r="Z26" s="6"/>
    </row>
    <row r="27" ht="21.0" customHeight="1">
      <c r="A27" s="15" t="s">
        <v>97</v>
      </c>
      <c r="B27" s="16" t="s">
        <v>98</v>
      </c>
      <c r="C27" s="17" t="str">
        <f t="shared" si="1"/>
        <v>https://jonathan-harris.online/catalogue/future-of-work/</v>
      </c>
      <c r="D27" s="18" t="s">
        <v>99</v>
      </c>
      <c r="E27" s="18" t="s">
        <v>36</v>
      </c>
      <c r="F27" s="19"/>
      <c r="G27" s="19"/>
      <c r="H27" s="18"/>
      <c r="I27" s="18" t="str">
        <f>IFERROR(VLOOKUP($F27,'BuyNow Redirects'!$C$2:$J$37,5,FALSE),"")</f>
        <v/>
      </c>
      <c r="J27" s="21" t="str">
        <f>IFERROR(VLOOKUP($F27,'BuyNow Redirects'!$C$2:$J$37,6,FALSE),"")</f>
        <v/>
      </c>
      <c r="K27" s="22" t="str">
        <f>IFERROR(VLOOKUP($F27,'BuyNow Redirects'!$C$2:$J$37,7,FALSE),"")</f>
        <v/>
      </c>
      <c r="L27" s="19" t="str">
        <f>IFERROR(VLOOKUP($F27,'BuyNow Redirects'!$C$2:$J$37,8,FALSE),"")</f>
        <v/>
      </c>
      <c r="M27" s="6"/>
      <c r="N27" s="6"/>
      <c r="O27" s="6"/>
      <c r="P27" s="6"/>
      <c r="Q27" s="6"/>
      <c r="R27" s="6"/>
      <c r="S27" s="6"/>
      <c r="T27" s="6"/>
      <c r="U27" s="6"/>
      <c r="V27" s="6"/>
      <c r="W27" s="6"/>
      <c r="X27" s="6"/>
      <c r="Y27" s="6"/>
      <c r="Z27" s="6"/>
    </row>
    <row r="28" ht="21.0" customHeight="1">
      <c r="A28" s="8" t="s">
        <v>100</v>
      </c>
      <c r="B28" s="9" t="s">
        <v>101</v>
      </c>
      <c r="C28" s="10" t="str">
        <f t="shared" si="1"/>
        <v>https://jonathan-harris.online/catalogue/gaming/</v>
      </c>
      <c r="D28" s="11" t="s">
        <v>102</v>
      </c>
      <c r="E28" s="11" t="s">
        <v>36</v>
      </c>
      <c r="F28" s="12"/>
      <c r="G28" s="12"/>
      <c r="H28" s="11"/>
      <c r="I28" s="11" t="str">
        <f>IFERROR(VLOOKUP($F28,'BuyNow Redirects'!$C$2:$J$37,5,FALSE),"")</f>
        <v/>
      </c>
      <c r="J28" s="13" t="str">
        <f>IFERROR(VLOOKUP($F28,'BuyNow Redirects'!$C$2:$J$37,6,FALSE),"")</f>
        <v/>
      </c>
      <c r="K28" s="14" t="str">
        <f>IFERROR(VLOOKUP($F28,'BuyNow Redirects'!$C$2:$J$37,7,FALSE),"")</f>
        <v/>
      </c>
      <c r="L28" s="12" t="str">
        <f>IFERROR(VLOOKUP($F28,'BuyNow Redirects'!$C$2:$J$37,8,FALSE),"")</f>
        <v/>
      </c>
      <c r="M28" s="6"/>
      <c r="N28" s="6"/>
      <c r="O28" s="6"/>
      <c r="P28" s="6"/>
      <c r="Q28" s="6"/>
      <c r="R28" s="6"/>
      <c r="S28" s="6"/>
      <c r="T28" s="6"/>
      <c r="U28" s="6"/>
      <c r="V28" s="6"/>
      <c r="W28" s="6"/>
      <c r="X28" s="6"/>
      <c r="Y28" s="6"/>
      <c r="Z28" s="6"/>
    </row>
    <row r="29" ht="21.0" customHeight="1">
      <c r="A29" s="15" t="s">
        <v>103</v>
      </c>
      <c r="B29" s="16" t="s">
        <v>104</v>
      </c>
      <c r="C29" s="17" t="str">
        <f t="shared" si="1"/>
        <v>https://jonathan-harris.online/catalogue/government/</v>
      </c>
      <c r="D29" s="18" t="s">
        <v>105</v>
      </c>
      <c r="E29" s="18" t="s">
        <v>36</v>
      </c>
      <c r="F29" s="19"/>
      <c r="G29" s="19"/>
      <c r="H29" s="18"/>
      <c r="I29" s="18" t="str">
        <f>IFERROR(VLOOKUP($F29,'BuyNow Redirects'!$C$2:$J$37,5,FALSE),"")</f>
        <v/>
      </c>
      <c r="J29" s="21" t="str">
        <f>IFERROR(VLOOKUP($F29,'BuyNow Redirects'!$C$2:$J$37,6,FALSE),"")</f>
        <v/>
      </c>
      <c r="K29" s="22" t="str">
        <f>IFERROR(VLOOKUP($F29,'BuyNow Redirects'!$C$2:$J$37,7,FALSE),"")</f>
        <v/>
      </c>
      <c r="L29" s="19" t="str">
        <f>IFERROR(VLOOKUP($F29,'BuyNow Redirects'!$C$2:$J$37,8,FALSE),"")</f>
        <v/>
      </c>
      <c r="M29" s="6"/>
      <c r="N29" s="6"/>
      <c r="O29" s="6"/>
      <c r="P29" s="6"/>
      <c r="Q29" s="6"/>
      <c r="R29" s="6"/>
      <c r="S29" s="6"/>
      <c r="T29" s="6"/>
      <c r="U29" s="6"/>
      <c r="V29" s="6"/>
      <c r="W29" s="6"/>
      <c r="X29" s="6"/>
      <c r="Y29" s="6"/>
      <c r="Z29" s="6"/>
    </row>
    <row r="30" ht="21.0" customHeight="1">
      <c r="A30" s="8" t="s">
        <v>106</v>
      </c>
      <c r="B30" s="9" t="s">
        <v>107</v>
      </c>
      <c r="C30" s="10" t="str">
        <f t="shared" si="1"/>
        <v>https://jonathan-harris.online/catalogue/healthcare/</v>
      </c>
      <c r="D30" s="11" t="s">
        <v>108</v>
      </c>
      <c r="E30" s="11" t="s">
        <v>36</v>
      </c>
      <c r="F30" s="12"/>
      <c r="G30" s="12"/>
      <c r="H30" s="11"/>
      <c r="I30" s="11" t="str">
        <f>IFERROR(VLOOKUP($F30,'BuyNow Redirects'!$C$2:$J$37,5,FALSE),"")</f>
        <v/>
      </c>
      <c r="J30" s="13" t="str">
        <f>IFERROR(VLOOKUP($F30,'BuyNow Redirects'!$C$2:$J$37,6,FALSE),"")</f>
        <v/>
      </c>
      <c r="K30" s="14" t="str">
        <f>IFERROR(VLOOKUP($F30,'BuyNow Redirects'!$C$2:$J$37,7,FALSE),"")</f>
        <v/>
      </c>
      <c r="L30" s="12" t="str">
        <f>IFERROR(VLOOKUP($F30,'BuyNow Redirects'!$C$2:$J$37,8,FALSE),"")</f>
        <v/>
      </c>
      <c r="M30" s="6"/>
      <c r="N30" s="6"/>
      <c r="O30" s="6"/>
      <c r="P30" s="6"/>
      <c r="Q30" s="6"/>
      <c r="R30" s="6"/>
      <c r="S30" s="6"/>
      <c r="T30" s="6"/>
      <c r="U30" s="6"/>
      <c r="V30" s="6"/>
      <c r="W30" s="6"/>
      <c r="X30" s="6"/>
      <c r="Y30" s="6"/>
      <c r="Z30" s="6"/>
    </row>
    <row r="31" ht="21.0" customHeight="1">
      <c r="A31" s="15" t="s">
        <v>109</v>
      </c>
      <c r="B31" s="16" t="s">
        <v>110</v>
      </c>
      <c r="C31" s="17" t="str">
        <f t="shared" si="1"/>
        <v>https://jonathan-harris.online/catalogue/history/</v>
      </c>
      <c r="D31" s="18" t="s">
        <v>111</v>
      </c>
      <c r="E31" s="18" t="s">
        <v>36</v>
      </c>
      <c r="F31" s="19"/>
      <c r="G31" s="19"/>
      <c r="H31" s="18"/>
      <c r="I31" s="18" t="str">
        <f>IFERROR(VLOOKUP($F31,'BuyNow Redirects'!$C$2:$J$37,5,FALSE),"")</f>
        <v/>
      </c>
      <c r="J31" s="21" t="str">
        <f>IFERROR(VLOOKUP($F31,'BuyNow Redirects'!$C$2:$J$37,6,FALSE),"")</f>
        <v/>
      </c>
      <c r="K31" s="22" t="str">
        <f>IFERROR(VLOOKUP($F31,'BuyNow Redirects'!$C$2:$J$37,7,FALSE),"")</f>
        <v/>
      </c>
      <c r="L31" s="19" t="str">
        <f>IFERROR(VLOOKUP($F31,'BuyNow Redirects'!$C$2:$J$37,8,FALSE),"")</f>
        <v/>
      </c>
      <c r="M31" s="6"/>
      <c r="N31" s="6"/>
      <c r="O31" s="6"/>
      <c r="P31" s="6"/>
      <c r="Q31" s="6"/>
      <c r="R31" s="6"/>
      <c r="S31" s="6"/>
      <c r="T31" s="6"/>
      <c r="U31" s="6"/>
      <c r="V31" s="6"/>
      <c r="W31" s="6"/>
      <c r="X31" s="6"/>
      <c r="Y31" s="6"/>
      <c r="Z31" s="6"/>
    </row>
    <row r="32" ht="21.0" customHeight="1">
      <c r="A32" s="8" t="s">
        <v>112</v>
      </c>
      <c r="B32" s="9" t="s">
        <v>113</v>
      </c>
      <c r="C32" s="10" t="str">
        <f t="shared" si="1"/>
        <v>https://jonathan-harris.online/catalogue/industry/</v>
      </c>
      <c r="D32" s="11" t="s">
        <v>114</v>
      </c>
      <c r="E32" s="11" t="s">
        <v>36</v>
      </c>
      <c r="F32" s="12"/>
      <c r="G32" s="12"/>
      <c r="H32" s="11"/>
      <c r="I32" s="11" t="str">
        <f>IFERROR(VLOOKUP($F32,'BuyNow Redirects'!$C$2:$J$37,5,FALSE),"")</f>
        <v/>
      </c>
      <c r="J32" s="13" t="str">
        <f>IFERROR(VLOOKUP($F32,'BuyNow Redirects'!$C$2:$J$37,6,FALSE),"")</f>
        <v/>
      </c>
      <c r="K32" s="14" t="str">
        <f>IFERROR(VLOOKUP($F32,'BuyNow Redirects'!$C$2:$J$37,7,FALSE),"")</f>
        <v/>
      </c>
      <c r="L32" s="12" t="str">
        <f>IFERROR(VLOOKUP($F32,'BuyNow Redirects'!$C$2:$J$37,8,FALSE),"")</f>
        <v/>
      </c>
      <c r="M32" s="6"/>
      <c r="N32" s="6"/>
      <c r="O32" s="6"/>
      <c r="P32" s="6"/>
      <c r="Q32" s="6"/>
      <c r="R32" s="6"/>
      <c r="S32" s="6"/>
      <c r="T32" s="6"/>
      <c r="U32" s="6"/>
      <c r="V32" s="6"/>
      <c r="W32" s="6"/>
      <c r="X32" s="6"/>
      <c r="Y32" s="6"/>
      <c r="Z32" s="6"/>
    </row>
    <row r="33" ht="21.0" customHeight="1">
      <c r="A33" s="15" t="s">
        <v>115</v>
      </c>
      <c r="B33" s="16" t="s">
        <v>116</v>
      </c>
      <c r="C33" s="17" t="str">
        <f t="shared" si="1"/>
        <v>https://jonathan-harris.online/catalogue/law/</v>
      </c>
      <c r="D33" s="18" t="s">
        <v>117</v>
      </c>
      <c r="E33" s="18" t="s">
        <v>36</v>
      </c>
      <c r="F33" s="19"/>
      <c r="G33" s="19"/>
      <c r="H33" s="18"/>
      <c r="I33" s="18" t="str">
        <f>IFERROR(VLOOKUP($F33,'BuyNow Redirects'!$C$2:$J$37,5,FALSE),"")</f>
        <v/>
      </c>
      <c r="J33" s="21" t="str">
        <f>IFERROR(VLOOKUP($F33,'BuyNow Redirects'!$C$2:$J$37,6,FALSE),"")</f>
        <v/>
      </c>
      <c r="K33" s="22" t="str">
        <f>IFERROR(VLOOKUP($F33,'BuyNow Redirects'!$C$2:$J$37,7,FALSE),"")</f>
        <v/>
      </c>
      <c r="L33" s="19" t="str">
        <f>IFERROR(VLOOKUP($F33,'BuyNow Redirects'!$C$2:$J$37,8,FALSE),"")</f>
        <v/>
      </c>
      <c r="M33" s="6"/>
      <c r="N33" s="6"/>
      <c r="O33" s="6"/>
      <c r="P33" s="6"/>
      <c r="Q33" s="6"/>
      <c r="R33" s="6"/>
      <c r="S33" s="6"/>
      <c r="T33" s="6"/>
      <c r="U33" s="6"/>
      <c r="V33" s="6"/>
      <c r="W33" s="6"/>
      <c r="X33" s="6"/>
      <c r="Y33" s="6"/>
      <c r="Z33" s="6"/>
    </row>
    <row r="34" ht="21.0" customHeight="1">
      <c r="A34" s="8" t="s">
        <v>118</v>
      </c>
      <c r="B34" s="9" t="s">
        <v>119</v>
      </c>
      <c r="C34" s="10" t="str">
        <f t="shared" si="1"/>
        <v>https://jonathan-harris.online/catalogue/manufacturing/</v>
      </c>
      <c r="D34" s="11" t="s">
        <v>120</v>
      </c>
      <c r="E34" s="11" t="s">
        <v>36</v>
      </c>
      <c r="F34" s="12"/>
      <c r="G34" s="12"/>
      <c r="H34" s="11"/>
      <c r="I34" s="11" t="str">
        <f>IFERROR(VLOOKUP($F34,'BuyNow Redirects'!$C$2:$J$37,5,FALSE),"")</f>
        <v/>
      </c>
      <c r="J34" s="13" t="str">
        <f>IFERROR(VLOOKUP($F34,'BuyNow Redirects'!$C$2:$J$37,6,FALSE),"")</f>
        <v/>
      </c>
      <c r="K34" s="14" t="str">
        <f>IFERROR(VLOOKUP($F34,'BuyNow Redirects'!$C$2:$J$37,7,FALSE),"")</f>
        <v/>
      </c>
      <c r="L34" s="12" t="str">
        <f>IFERROR(VLOOKUP($F34,'BuyNow Redirects'!$C$2:$J$37,8,FALSE),"")</f>
        <v/>
      </c>
      <c r="M34" s="6"/>
      <c r="N34" s="6"/>
      <c r="O34" s="6"/>
      <c r="P34" s="6"/>
      <c r="Q34" s="6"/>
      <c r="R34" s="6"/>
      <c r="S34" s="6"/>
      <c r="T34" s="6"/>
      <c r="U34" s="6"/>
      <c r="V34" s="6"/>
      <c r="W34" s="6"/>
      <c r="X34" s="6"/>
      <c r="Y34" s="6"/>
      <c r="Z34" s="6"/>
    </row>
    <row r="35" ht="21.0" customHeight="1">
      <c r="A35" s="15" t="s">
        <v>121</v>
      </c>
      <c r="B35" s="16" t="s">
        <v>122</v>
      </c>
      <c r="C35" s="17" t="str">
        <f t="shared" si="1"/>
        <v>https://jonathan-harris.online/catalogue/media/</v>
      </c>
      <c r="D35" s="18" t="s">
        <v>123</v>
      </c>
      <c r="E35" s="18" t="s">
        <v>36</v>
      </c>
      <c r="F35" s="19"/>
      <c r="G35" s="19"/>
      <c r="H35" s="18"/>
      <c r="I35" s="18" t="str">
        <f>IFERROR(VLOOKUP($F35,'BuyNow Redirects'!$C$2:$J$37,5,FALSE),"")</f>
        <v/>
      </c>
      <c r="J35" s="21" t="str">
        <f>IFERROR(VLOOKUP($F35,'BuyNow Redirects'!$C$2:$J$37,6,FALSE),"")</f>
        <v/>
      </c>
      <c r="K35" s="22" t="str">
        <f>IFERROR(VLOOKUP($F35,'BuyNow Redirects'!$C$2:$J$37,7,FALSE),"")</f>
        <v/>
      </c>
      <c r="L35" s="19" t="str">
        <f>IFERROR(VLOOKUP($F35,'BuyNow Redirects'!$C$2:$J$37,8,FALSE),"")</f>
        <v/>
      </c>
      <c r="M35" s="6"/>
      <c r="N35" s="6"/>
      <c r="O35" s="6"/>
      <c r="P35" s="6"/>
      <c r="Q35" s="6"/>
      <c r="R35" s="6"/>
      <c r="S35" s="6"/>
      <c r="T35" s="6"/>
      <c r="U35" s="6"/>
      <c r="V35" s="6"/>
      <c r="W35" s="6"/>
      <c r="X35" s="6"/>
      <c r="Y35" s="6"/>
      <c r="Z35" s="6"/>
    </row>
    <row r="36" ht="21.0" customHeight="1">
      <c r="A36" s="8" t="s">
        <v>124</v>
      </c>
      <c r="B36" s="9" t="s">
        <v>125</v>
      </c>
      <c r="C36" s="10" t="str">
        <f t="shared" si="1"/>
        <v>https://jonathan-harris.online/catalogue/retail/</v>
      </c>
      <c r="D36" s="11" t="s">
        <v>126</v>
      </c>
      <c r="E36" s="11" t="s">
        <v>36</v>
      </c>
      <c r="F36" s="12"/>
      <c r="G36" s="12"/>
      <c r="H36" s="11"/>
      <c r="I36" s="11" t="str">
        <f>IFERROR(VLOOKUP($F36,'BuyNow Redirects'!$C$2:$J$37,5,FALSE),"")</f>
        <v/>
      </c>
      <c r="J36" s="13" t="str">
        <f>IFERROR(VLOOKUP($F36,'BuyNow Redirects'!$C$2:$J$37,6,FALSE),"")</f>
        <v/>
      </c>
      <c r="K36" s="14" t="str">
        <f>IFERROR(VLOOKUP($F36,'BuyNow Redirects'!$C$2:$J$37,7,FALSE),"")</f>
        <v/>
      </c>
      <c r="L36" s="12" t="str">
        <f>IFERROR(VLOOKUP($F36,'BuyNow Redirects'!$C$2:$J$37,8,FALSE),"")</f>
        <v/>
      </c>
      <c r="M36" s="6"/>
      <c r="N36" s="6"/>
      <c r="O36" s="6"/>
      <c r="P36" s="6"/>
      <c r="Q36" s="6"/>
      <c r="R36" s="6"/>
      <c r="S36" s="6"/>
      <c r="T36" s="6"/>
      <c r="U36" s="6"/>
      <c r="V36" s="6"/>
      <c r="W36" s="6"/>
      <c r="X36" s="6"/>
      <c r="Y36" s="6"/>
      <c r="Z36" s="6"/>
    </row>
    <row r="37" ht="21.0" customHeight="1">
      <c r="A37" s="15" t="s">
        <v>127</v>
      </c>
      <c r="B37" s="16" t="s">
        <v>128</v>
      </c>
      <c r="C37" s="17" t="str">
        <f t="shared" si="1"/>
        <v>https://jonathan-harris.online/catalogue/science/</v>
      </c>
      <c r="D37" s="18" t="s">
        <v>129</v>
      </c>
      <c r="E37" s="18" t="s">
        <v>36</v>
      </c>
      <c r="F37" s="19"/>
      <c r="G37" s="19"/>
      <c r="H37" s="18"/>
      <c r="I37" s="18" t="str">
        <f>IFERROR(VLOOKUP($F37,'BuyNow Redirects'!$C$2:$J$37,5,FALSE),"")</f>
        <v/>
      </c>
      <c r="J37" s="21" t="str">
        <f>IFERROR(VLOOKUP($F37,'BuyNow Redirects'!$C$2:$J$37,6,FALSE),"")</f>
        <v/>
      </c>
      <c r="K37" s="22" t="str">
        <f>IFERROR(VLOOKUP($F37,'BuyNow Redirects'!$C$2:$J$37,7,FALSE),"")</f>
        <v/>
      </c>
      <c r="L37" s="19" t="str">
        <f>IFERROR(VLOOKUP($F37,'BuyNow Redirects'!$C$2:$J$37,8,FALSE),"")</f>
        <v/>
      </c>
      <c r="M37" s="6"/>
      <c r="N37" s="6"/>
      <c r="O37" s="6"/>
      <c r="P37" s="6"/>
      <c r="Q37" s="6"/>
      <c r="R37" s="6"/>
      <c r="S37" s="6"/>
      <c r="T37" s="6"/>
      <c r="U37" s="6"/>
      <c r="V37" s="6"/>
      <c r="W37" s="6"/>
      <c r="X37" s="6"/>
      <c r="Y37" s="6"/>
      <c r="Z37" s="6"/>
    </row>
    <row r="38" ht="21.0" customHeight="1">
      <c r="A38" s="8" t="s">
        <v>130</v>
      </c>
      <c r="B38" s="9" t="s">
        <v>131</v>
      </c>
      <c r="C38" s="10" t="str">
        <f t="shared" si="1"/>
        <v>https://jonathan-harris.online/catalogue/sports/</v>
      </c>
      <c r="D38" s="11" t="s">
        <v>132</v>
      </c>
      <c r="E38" s="11" t="s">
        <v>36</v>
      </c>
      <c r="F38" s="12"/>
      <c r="G38" s="12"/>
      <c r="H38" s="11"/>
      <c r="I38" s="11" t="str">
        <f>IFERROR(VLOOKUP($F38,'BuyNow Redirects'!$C$2:$J$37,5,FALSE),"")</f>
        <v/>
      </c>
      <c r="J38" s="13" t="str">
        <f>IFERROR(VLOOKUP($F38,'BuyNow Redirects'!$C$2:$J$37,6,FALSE),"")</f>
        <v/>
      </c>
      <c r="K38" s="14" t="str">
        <f>IFERROR(VLOOKUP($F38,'BuyNow Redirects'!$C$2:$J$37,7,FALSE),"")</f>
        <v/>
      </c>
      <c r="L38" s="12" t="str">
        <f>IFERROR(VLOOKUP($F38,'BuyNow Redirects'!$C$2:$J$37,8,FALSE),"")</f>
        <v/>
      </c>
      <c r="M38" s="6"/>
      <c r="N38" s="6"/>
      <c r="O38" s="6"/>
      <c r="P38" s="6"/>
      <c r="Q38" s="6"/>
      <c r="R38" s="6"/>
      <c r="S38" s="6"/>
      <c r="T38" s="6"/>
      <c r="U38" s="6"/>
      <c r="V38" s="6"/>
      <c r="W38" s="6"/>
      <c r="X38" s="6"/>
      <c r="Y38" s="6"/>
      <c r="Z38" s="6"/>
    </row>
    <row r="39" ht="21.0" customHeight="1">
      <c r="A39" s="15" t="s">
        <v>133</v>
      </c>
      <c r="B39" s="16" t="s">
        <v>134</v>
      </c>
      <c r="C39" s="17" t="str">
        <f t="shared" si="1"/>
        <v>https://jonathan-harris.online/catalogue/transportation/</v>
      </c>
      <c r="D39" s="18" t="s">
        <v>135</v>
      </c>
      <c r="E39" s="18" t="s">
        <v>36</v>
      </c>
      <c r="F39" s="19"/>
      <c r="G39" s="19"/>
      <c r="H39" s="18"/>
      <c r="I39" s="18" t="str">
        <f>IFERROR(VLOOKUP($F39,'BuyNow Redirects'!$C$2:$J$37,5,FALSE),"")</f>
        <v/>
      </c>
      <c r="J39" s="21" t="str">
        <f>IFERROR(VLOOKUP($F39,'BuyNow Redirects'!$C$2:$J$37,6,FALSE),"")</f>
        <v/>
      </c>
      <c r="K39" s="22" t="str">
        <f>IFERROR(VLOOKUP($F39,'BuyNow Redirects'!$C$2:$J$37,7,FALSE),"")</f>
        <v/>
      </c>
      <c r="L39" s="19" t="str">
        <f>IFERROR(VLOOKUP($F39,'BuyNow Redirects'!$C$2:$J$37,8,FALSE),"")</f>
        <v/>
      </c>
      <c r="M39" s="6"/>
      <c r="N39" s="6"/>
      <c r="O39" s="6"/>
      <c r="P39" s="6"/>
      <c r="Q39" s="6"/>
      <c r="R39" s="6"/>
      <c r="S39" s="6"/>
      <c r="T39" s="6"/>
      <c r="U39" s="6"/>
      <c r="V39" s="6"/>
      <c r="W39" s="6"/>
      <c r="X39" s="6"/>
      <c r="Y39" s="6"/>
      <c r="Z39" s="6"/>
    </row>
    <row r="40" ht="21.0" customHeight="1">
      <c r="A40" s="8" t="s">
        <v>136</v>
      </c>
      <c r="B40" s="9" t="s">
        <v>137</v>
      </c>
      <c r="C40" s="10" t="str">
        <f t="shared" si="1"/>
        <v>https://jonathan-harris.online/compare/</v>
      </c>
      <c r="D40" s="11" t="s">
        <v>138</v>
      </c>
      <c r="E40" s="11" t="s">
        <v>36</v>
      </c>
      <c r="F40" s="12"/>
      <c r="G40" s="12"/>
      <c r="H40" s="23"/>
      <c r="I40" s="11" t="str">
        <f>IFERROR(VLOOKUP($F40,'BuyNow Redirects'!$C$2:$J$37,5,FALSE),"")</f>
        <v/>
      </c>
      <c r="J40" s="13" t="str">
        <f>IFERROR(VLOOKUP($F40,'BuyNow Redirects'!$C$2:$J$37,6,FALSE),"")</f>
        <v/>
      </c>
      <c r="K40" s="14" t="str">
        <f>IFERROR(VLOOKUP($F40,'BuyNow Redirects'!$C$2:$J$37,7,FALSE),"")</f>
        <v/>
      </c>
      <c r="L40" s="12" t="str">
        <f>IFERROR(VLOOKUP($F40,'BuyNow Redirects'!$C$2:$J$37,8,FALSE),"")</f>
        <v/>
      </c>
      <c r="M40" s="6"/>
      <c r="N40" s="6"/>
      <c r="O40" s="6"/>
      <c r="P40" s="6"/>
      <c r="Q40" s="6"/>
      <c r="R40" s="6"/>
      <c r="S40" s="6"/>
      <c r="T40" s="6"/>
      <c r="U40" s="6"/>
      <c r="V40" s="6"/>
      <c r="W40" s="6"/>
      <c r="X40" s="6"/>
      <c r="Y40" s="6"/>
      <c r="Z40" s="6"/>
    </row>
    <row r="41" ht="21.0" customHeight="1">
      <c r="A41" s="15" t="s">
        <v>139</v>
      </c>
      <c r="B41" s="16" t="s">
        <v>140</v>
      </c>
      <c r="C41" s="17" t="str">
        <f t="shared" si="1"/>
        <v>https://jonathan-harris.online/contact/</v>
      </c>
      <c r="D41" s="18" t="s">
        <v>141</v>
      </c>
      <c r="E41" s="18" t="s">
        <v>36</v>
      </c>
      <c r="F41" s="19"/>
      <c r="G41" s="19"/>
      <c r="H41" s="20"/>
      <c r="I41" s="18" t="str">
        <f>IFERROR(VLOOKUP($F41,'BuyNow Redirects'!$C$2:$J$37,5,FALSE),"")</f>
        <v/>
      </c>
      <c r="J41" s="21" t="str">
        <f>IFERROR(VLOOKUP($F41,'BuyNow Redirects'!$C$2:$J$37,6,FALSE),"")</f>
        <v/>
      </c>
      <c r="K41" s="22" t="str">
        <f>IFERROR(VLOOKUP($F41,'BuyNow Redirects'!$C$2:$J$37,7,FALSE),"")</f>
        <v/>
      </c>
      <c r="L41" s="19" t="str">
        <f>IFERROR(VLOOKUP($F41,'BuyNow Redirects'!$C$2:$J$37,8,FALSE),"")</f>
        <v/>
      </c>
      <c r="M41" s="6"/>
      <c r="N41" s="6"/>
      <c r="O41" s="6"/>
      <c r="P41" s="6"/>
      <c r="Q41" s="6"/>
      <c r="R41" s="6"/>
      <c r="S41" s="6"/>
      <c r="T41" s="6"/>
      <c r="U41" s="6"/>
      <c r="V41" s="6"/>
      <c r="W41" s="6"/>
      <c r="X41" s="6"/>
      <c r="Y41" s="6"/>
      <c r="Z41" s="6"/>
    </row>
    <row r="42" ht="21.0" customHeight="1">
      <c r="A42" s="8" t="s">
        <v>142</v>
      </c>
      <c r="B42" s="9" t="s">
        <v>143</v>
      </c>
      <c r="C42" s="10" t="str">
        <f t="shared" si="1"/>
        <v>https://jonathan-harris.online/ebooks/</v>
      </c>
      <c r="D42" s="11" t="s">
        <v>144</v>
      </c>
      <c r="E42" s="11" t="s">
        <v>36</v>
      </c>
      <c r="F42" s="12"/>
      <c r="G42" s="12"/>
      <c r="H42" s="11"/>
      <c r="I42" s="11" t="str">
        <f>IFERROR(VLOOKUP($F42,'BuyNow Redirects'!$C$2:$J$37,5,FALSE),"")</f>
        <v/>
      </c>
      <c r="J42" s="13" t="str">
        <f>IFERROR(VLOOKUP($F42,'BuyNow Redirects'!$C$2:$J$37,6,FALSE),"")</f>
        <v/>
      </c>
      <c r="K42" s="14" t="str">
        <f>IFERROR(VLOOKUP($F42,'BuyNow Redirects'!$C$2:$J$37,7,FALSE),"")</f>
        <v/>
      </c>
      <c r="L42" s="12" t="str">
        <f>IFERROR(VLOOKUP($F42,'BuyNow Redirects'!$C$2:$J$37,8,FALSE),"")</f>
        <v/>
      </c>
      <c r="M42" s="6"/>
      <c r="N42" s="6"/>
      <c r="O42" s="6"/>
      <c r="P42" s="6"/>
      <c r="Q42" s="6"/>
      <c r="R42" s="6"/>
      <c r="S42" s="6"/>
      <c r="T42" s="6"/>
      <c r="U42" s="6"/>
      <c r="V42" s="6"/>
      <c r="W42" s="6"/>
      <c r="X42" s="6"/>
      <c r="Y42" s="6"/>
      <c r="Z42" s="6"/>
    </row>
    <row r="43" ht="21.0" customHeight="1">
      <c r="A43" s="15" t="s">
        <v>145</v>
      </c>
      <c r="B43" s="16" t="s">
        <v>146</v>
      </c>
      <c r="C43" s="17" t="str">
        <f t="shared" si="1"/>
        <v>https://jonathan-harris.online/ebooks/ai-and-formula-1-redefining-speed-and-strategy-with-intelligent-technology/</v>
      </c>
      <c r="D43" s="18" t="s">
        <v>147</v>
      </c>
      <c r="E43" s="18" t="s">
        <v>148</v>
      </c>
      <c r="F43" s="19" t="s">
        <v>149</v>
      </c>
      <c r="G43" s="19" t="s">
        <v>150</v>
      </c>
      <c r="H43" s="18"/>
      <c r="I43" s="18" t="str">
        <f>IFERROR(VLOOKUP($F43,'BuyNow Redirects'!$C$2:$J$37,5,FALSE),"")</f>
        <v>B0DQHSD858</v>
      </c>
      <c r="J43" s="21">
        <f>IFERROR(VLOOKUP($F43,'BuyNow Redirects'!$C$2:$J$37,6,FALSE),"")</f>
        <v>227</v>
      </c>
      <c r="K43" s="22">
        <f>IFERROR(VLOOKUP($F43,'BuyNow Redirects'!$C$2:$J$37,7,FALSE),"")</f>
        <v>45640</v>
      </c>
      <c r="L43" s="24" t="str">
        <f>IFERROR(VLOOKUP($F43,'BuyNow Redirects'!$C$2:$J$37,8,FALSE),"")</f>
        <v>https://images.jonathan-harris.online/ai-formula-speed-webp</v>
      </c>
      <c r="M43" s="6"/>
      <c r="N43" s="6"/>
      <c r="O43" s="6"/>
      <c r="P43" s="6"/>
      <c r="Q43" s="6"/>
      <c r="R43" s="6"/>
      <c r="S43" s="6"/>
      <c r="T43" s="6"/>
      <c r="U43" s="6"/>
      <c r="V43" s="6"/>
      <c r="W43" s="6"/>
      <c r="X43" s="6"/>
      <c r="Y43" s="6"/>
      <c r="Z43" s="6"/>
    </row>
    <row r="44" ht="21.0" customHeight="1">
      <c r="A44" s="8" t="s">
        <v>151</v>
      </c>
      <c r="B44" s="9" t="s">
        <v>152</v>
      </c>
      <c r="C44" s="10" t="str">
        <f t="shared" si="1"/>
        <v>https://jonathan-harris.online/ebooks/ai-in-agriculture-revolutionizing-farming-for-a-sustainable-future/</v>
      </c>
      <c r="D44" s="11" t="s">
        <v>153</v>
      </c>
      <c r="E44" s="11" t="s">
        <v>148</v>
      </c>
      <c r="F44" s="12" t="s">
        <v>154</v>
      </c>
      <c r="G44" s="12" t="s">
        <v>155</v>
      </c>
      <c r="H44" s="11"/>
      <c r="I44" s="11" t="str">
        <f>IFERROR(VLOOKUP($F44,'BuyNow Redirects'!$C$2:$J$37,5,FALSE),"")</f>
        <v>B0DMN32J3Y</v>
      </c>
      <c r="J44" s="13">
        <f>IFERROR(VLOOKUP($F44,'BuyNow Redirects'!$C$2:$J$37,6,FALSE),"")</f>
        <v>330</v>
      </c>
      <c r="K44" s="14">
        <f>IFERROR(VLOOKUP($F44,'BuyNow Redirects'!$C$2:$J$37,7,FALSE),"")</f>
        <v>45606</v>
      </c>
      <c r="L44" s="25" t="str">
        <f>IFERROR(VLOOKUP($F44,'BuyNow Redirects'!$C$2:$J$37,8,FALSE),"")</f>
        <v>https://images.jonathan-harris.online/ai-agriculture-farming-sustainable-webp</v>
      </c>
      <c r="M44" s="6"/>
      <c r="N44" s="6"/>
      <c r="O44" s="6"/>
      <c r="P44" s="6"/>
      <c r="Q44" s="6"/>
      <c r="R44" s="6"/>
      <c r="S44" s="6"/>
      <c r="T44" s="6"/>
      <c r="U44" s="6"/>
      <c r="V44" s="6"/>
      <c r="W44" s="6"/>
      <c r="X44" s="6"/>
      <c r="Y44" s="6"/>
      <c r="Z44" s="6"/>
    </row>
    <row r="45" ht="21.0" customHeight="1">
      <c r="A45" s="15" t="s">
        <v>156</v>
      </c>
      <c r="B45" s="16" t="s">
        <v>157</v>
      </c>
      <c r="C45" s="17" t="str">
        <f t="shared" si="1"/>
        <v>https://jonathan-harris.online/ebooks/ai-in-aviation-transforming-safety-and-sustainability/</v>
      </c>
      <c r="D45" s="18" t="s">
        <v>158</v>
      </c>
      <c r="E45" s="18" t="s">
        <v>148</v>
      </c>
      <c r="F45" s="19" t="s">
        <v>159</v>
      </c>
      <c r="G45" s="19" t="s">
        <v>160</v>
      </c>
      <c r="H45" s="18"/>
      <c r="I45" s="18" t="str">
        <f>IFERROR(VLOOKUP($F45,'BuyNow Redirects'!$C$2:$J$37,5,FALSE),"")</f>
        <v>B0DMKTLMX6</v>
      </c>
      <c r="J45" s="21">
        <f>IFERROR(VLOOKUP($F45,'BuyNow Redirects'!$C$2:$J$37,6,FALSE),"")</f>
        <v>284</v>
      </c>
      <c r="K45" s="22">
        <f>IFERROR(VLOOKUP($F45,'BuyNow Redirects'!$C$2:$J$37,7,FALSE),"")</f>
        <v>45605</v>
      </c>
      <c r="L45" s="24" t="str">
        <f>IFERROR(VLOOKUP($F45,'BuyNow Redirects'!$C$2:$J$37,8,FALSE),"")</f>
        <v>https://images.jonathan-harris.online/ai-aviation-safety-webp</v>
      </c>
      <c r="M45" s="6"/>
      <c r="N45" s="6"/>
      <c r="O45" s="6"/>
      <c r="P45" s="6"/>
      <c r="Q45" s="6"/>
      <c r="R45" s="6"/>
      <c r="S45" s="6"/>
      <c r="T45" s="6"/>
      <c r="U45" s="6"/>
      <c r="V45" s="6"/>
      <c r="W45" s="6"/>
      <c r="X45" s="6"/>
      <c r="Y45" s="6"/>
      <c r="Z45" s="6"/>
    </row>
    <row r="46" ht="21.0" customHeight="1">
      <c r="A46" s="8" t="s">
        <v>161</v>
      </c>
      <c r="B46" s="9" t="s">
        <v>162</v>
      </c>
      <c r="C46" s="10" t="str">
        <f t="shared" si="1"/>
        <v>https://jonathan-harris.online/ebooks/ai-in-education-reimagining-learning-for-every-student/</v>
      </c>
      <c r="D46" s="11" t="s">
        <v>163</v>
      </c>
      <c r="E46" s="11" t="s">
        <v>148</v>
      </c>
      <c r="F46" s="12" t="s">
        <v>164</v>
      </c>
      <c r="G46" s="12" t="s">
        <v>165</v>
      </c>
      <c r="H46" s="11"/>
      <c r="I46" s="11" t="str">
        <f>IFERROR(VLOOKUP($F46,'BuyNow Redirects'!$C$2:$J$37,5,FALSE),"")</f>
        <v>B0DMKXWQDK</v>
      </c>
      <c r="J46" s="13">
        <f>IFERROR(VLOOKUP($F46,'BuyNow Redirects'!$C$2:$J$37,6,FALSE),"")</f>
        <v>323</v>
      </c>
      <c r="K46" s="14">
        <f>IFERROR(VLOOKUP($F46,'BuyNow Redirects'!$C$2:$J$37,7,FALSE),"")</f>
        <v>45605</v>
      </c>
      <c r="L46" s="25" t="str">
        <f>IFERROR(VLOOKUP($F46,'BuyNow Redirects'!$C$2:$J$37,8,FALSE),"")</f>
        <v>https://images.jonathan-harris.online/ai-education-reimagining-learning-webp</v>
      </c>
      <c r="M46" s="6"/>
      <c r="N46" s="6"/>
      <c r="O46" s="6"/>
      <c r="P46" s="6"/>
      <c r="Q46" s="6"/>
      <c r="R46" s="6"/>
      <c r="S46" s="6"/>
      <c r="T46" s="6"/>
      <c r="U46" s="6"/>
      <c r="V46" s="6"/>
      <c r="W46" s="6"/>
      <c r="X46" s="6"/>
      <c r="Y46" s="6"/>
      <c r="Z46" s="6"/>
    </row>
    <row r="47" ht="21.0" customHeight="1">
      <c r="A47" s="15" t="s">
        <v>166</v>
      </c>
      <c r="B47" s="16" t="s">
        <v>167</v>
      </c>
      <c r="C47" s="17" t="str">
        <f t="shared" si="1"/>
        <v>https://jonathan-harris.online/ebooks/ai-in-maritime-revolutionizing-shipping-for-sustainability/</v>
      </c>
      <c r="D47" s="18" t="s">
        <v>168</v>
      </c>
      <c r="E47" s="18" t="s">
        <v>148</v>
      </c>
      <c r="F47" s="19" t="s">
        <v>169</v>
      </c>
      <c r="G47" s="19" t="s">
        <v>170</v>
      </c>
      <c r="H47" s="18"/>
      <c r="I47" s="18" t="str">
        <f>IFERROR(VLOOKUP($F47,'BuyNow Redirects'!$C$2:$J$37,5,FALSE),"")</f>
        <v>B0DMMTGNDJ</v>
      </c>
      <c r="J47" s="21">
        <f>IFERROR(VLOOKUP($F47,'BuyNow Redirects'!$C$2:$J$37,6,FALSE),"")</f>
        <v>312</v>
      </c>
      <c r="K47" s="22">
        <f>IFERROR(VLOOKUP($F47,'BuyNow Redirects'!$C$2:$J$37,7,FALSE),"")</f>
        <v>45606</v>
      </c>
      <c r="L47" s="24" t="str">
        <f>IFERROR(VLOOKUP($F47,'BuyNow Redirects'!$C$2:$J$37,8,FALSE),"")</f>
        <v>https://images.jonathan-harris.online/ai-maritime-shipping-webp</v>
      </c>
      <c r="M47" s="6"/>
      <c r="N47" s="6"/>
      <c r="O47" s="6"/>
      <c r="P47" s="6"/>
      <c r="Q47" s="6"/>
      <c r="R47" s="6"/>
      <c r="S47" s="6"/>
      <c r="T47" s="6"/>
      <c r="U47" s="6"/>
      <c r="V47" s="6"/>
      <c r="W47" s="6"/>
      <c r="X47" s="6"/>
      <c r="Y47" s="6"/>
      <c r="Z47" s="6"/>
    </row>
    <row r="48" ht="21.0" customHeight="1">
      <c r="A48" s="8" t="s">
        <v>171</v>
      </c>
      <c r="B48" s="9" t="s">
        <v>172</v>
      </c>
      <c r="C48" s="10" t="str">
        <f t="shared" si="1"/>
        <v>https://jonathan-harris.online/ebooks/ai-powered-smart-grid-revolutionizing-electricity-distribution-and-generation/</v>
      </c>
      <c r="D48" s="11" t="s">
        <v>173</v>
      </c>
      <c r="E48" s="11" t="s">
        <v>148</v>
      </c>
      <c r="F48" s="12" t="s">
        <v>174</v>
      </c>
      <c r="G48" s="12" t="s">
        <v>175</v>
      </c>
      <c r="H48" s="11"/>
      <c r="I48" s="11" t="str">
        <f>IFERROR(VLOOKUP($F48,'BuyNow Redirects'!$C$2:$J$37,5,FALSE),"")</f>
        <v>B0DMKFZ3W3</v>
      </c>
      <c r="J48" s="13">
        <f>IFERROR(VLOOKUP($F48,'BuyNow Redirects'!$C$2:$J$37,6,FALSE),"")</f>
        <v>338</v>
      </c>
      <c r="K48" s="14">
        <f>IFERROR(VLOOKUP($F48,'BuyNow Redirects'!$C$2:$J$37,7,FALSE),"")</f>
        <v>45604</v>
      </c>
      <c r="L48" s="25" t="str">
        <f>IFERROR(VLOOKUP($F48,'BuyNow Redirects'!$C$2:$J$37,8,FALSE),"")</f>
        <v>https://images.jonathan-harris.online/ai-smart-grid-electricity-webp</v>
      </c>
      <c r="M48" s="6"/>
      <c r="N48" s="6"/>
      <c r="O48" s="6"/>
      <c r="P48" s="6"/>
      <c r="Q48" s="6"/>
      <c r="R48" s="6"/>
      <c r="S48" s="6"/>
      <c r="T48" s="6"/>
      <c r="U48" s="6"/>
      <c r="V48" s="6"/>
      <c r="W48" s="6"/>
      <c r="X48" s="6"/>
      <c r="Y48" s="6"/>
      <c r="Z48" s="6"/>
    </row>
    <row r="49" ht="21.0" customHeight="1">
      <c r="A49" s="15" t="s">
        <v>176</v>
      </c>
      <c r="B49" s="16" t="s">
        <v>177</v>
      </c>
      <c r="C49" s="17" t="str">
        <f t="shared" si="1"/>
        <v>https://jonathan-harris.online/ebooks/ai-revolution-in-railways-modernizing-travel-for-a-smarter-future/</v>
      </c>
      <c r="D49" s="18" t="s">
        <v>178</v>
      </c>
      <c r="E49" s="18" t="s">
        <v>148</v>
      </c>
      <c r="F49" s="19" t="s">
        <v>179</v>
      </c>
      <c r="G49" s="19" t="s">
        <v>180</v>
      </c>
      <c r="H49" s="18"/>
      <c r="I49" s="18" t="str">
        <f>IFERROR(VLOOKUP($F49,'BuyNow Redirects'!$C$2:$J$37,5,FALSE),"")</f>
        <v>B0DWM19MZH</v>
      </c>
      <c r="J49" s="21">
        <f>IFERROR(VLOOKUP($F49,'BuyNow Redirects'!$C$2:$J$37,6,FALSE),"")</f>
        <v>254</v>
      </c>
      <c r="K49" s="22">
        <f>IFERROR(VLOOKUP($F49,'BuyNow Redirects'!$C$2:$J$37,7,FALSE),"")</f>
        <v>45696</v>
      </c>
      <c r="L49" s="24" t="str">
        <f>IFERROR(VLOOKUP($F49,'BuyNow Redirects'!$C$2:$J$37,8,FALSE),"")</f>
        <v>https://images.jonathan-harris.online/ai-revolution-railways-modernizing-webp</v>
      </c>
      <c r="M49" s="6"/>
      <c r="N49" s="6"/>
      <c r="O49" s="6"/>
      <c r="P49" s="6"/>
      <c r="Q49" s="6"/>
      <c r="R49" s="6"/>
      <c r="S49" s="6"/>
      <c r="T49" s="6"/>
      <c r="U49" s="6"/>
      <c r="V49" s="6"/>
      <c r="W49" s="6"/>
      <c r="X49" s="6"/>
      <c r="Y49" s="6"/>
      <c r="Z49" s="6"/>
    </row>
    <row r="50" ht="21.0" customHeight="1">
      <c r="A50" s="8" t="s">
        <v>181</v>
      </c>
      <c r="B50" s="9" t="s">
        <v>182</v>
      </c>
      <c r="C50" s="10" t="str">
        <f t="shared" si="1"/>
        <v>https://jonathan-harris.online/ebooks/artificial-intelligence-and-the-law-case-studies-and-future-trends/</v>
      </c>
      <c r="D50" s="11" t="s">
        <v>183</v>
      </c>
      <c r="E50" s="11" t="s">
        <v>148</v>
      </c>
      <c r="F50" s="12" t="s">
        <v>184</v>
      </c>
      <c r="G50" s="12" t="s">
        <v>185</v>
      </c>
      <c r="H50" s="11"/>
      <c r="I50" s="11" t="str">
        <f>IFERROR(VLOOKUP($F50,'BuyNow Redirects'!$C$2:$J$37,5,FALSE),"")</f>
        <v>B0DQHTBSWJ</v>
      </c>
      <c r="J50" s="13">
        <f>IFERROR(VLOOKUP($F50,'BuyNow Redirects'!$C$2:$J$37,6,FALSE),"")</f>
        <v>224</v>
      </c>
      <c r="K50" s="14">
        <f>IFERROR(VLOOKUP($F50,'BuyNow Redirects'!$C$2:$J$37,7,FALSE),"")</f>
        <v>45640</v>
      </c>
      <c r="L50" s="25" t="str">
        <f>IFERROR(VLOOKUP($F50,'BuyNow Redirects'!$C$2:$J$37,8,FALSE),"")</f>
        <v>https://images.jonathan-harris.online/artificial-intelligence-law-webp</v>
      </c>
      <c r="M50" s="6"/>
      <c r="N50" s="6"/>
      <c r="O50" s="6"/>
      <c r="P50" s="6"/>
      <c r="Q50" s="6"/>
      <c r="R50" s="6"/>
      <c r="S50" s="6"/>
      <c r="T50" s="6"/>
      <c r="U50" s="6"/>
      <c r="V50" s="6"/>
      <c r="W50" s="6"/>
      <c r="X50" s="6"/>
      <c r="Y50" s="6"/>
      <c r="Z50" s="6"/>
    </row>
    <row r="51" ht="21.0" customHeight="1">
      <c r="A51" s="15" t="s">
        <v>186</v>
      </c>
      <c r="B51" s="16" t="s">
        <v>187</v>
      </c>
      <c r="C51" s="17" t="str">
        <f t="shared" si="1"/>
        <v>https://jonathan-harris.online/ebooks/artificial-intelligence-for-cyber-security-a-practical-guide-to-data-breach-prevention/</v>
      </c>
      <c r="D51" s="18" t="s">
        <v>188</v>
      </c>
      <c r="E51" s="18" t="s">
        <v>148</v>
      </c>
      <c r="F51" s="19" t="s">
        <v>189</v>
      </c>
      <c r="G51" s="19" t="s">
        <v>190</v>
      </c>
      <c r="H51" s="18"/>
      <c r="I51" s="18" t="str">
        <f>IFERROR(VLOOKUP($F51,'BuyNow Redirects'!$C$2:$J$37,5,FALSE),"")</f>
        <v>B0DN4GZZQ4</v>
      </c>
      <c r="J51" s="21">
        <f>IFERROR(VLOOKUP($F51,'BuyNow Redirects'!$C$2:$J$37,6,FALSE),"")</f>
        <v>269</v>
      </c>
      <c r="K51" s="22">
        <f>IFERROR(VLOOKUP($F51,'BuyNow Redirects'!$C$2:$J$37,7,FALSE),"")</f>
        <v>45610</v>
      </c>
      <c r="L51" s="24" t="str">
        <f>IFERROR(VLOOKUP($F51,'BuyNow Redirects'!$C$2:$J$37,8,FALSE),"")</f>
        <v>https://images.jonathan-harris.online/artificial-intelligence-cyber-practical-webp</v>
      </c>
      <c r="M51" s="6"/>
      <c r="N51" s="6"/>
      <c r="O51" s="6"/>
      <c r="P51" s="6"/>
      <c r="Q51" s="6"/>
      <c r="R51" s="6"/>
      <c r="S51" s="6"/>
      <c r="T51" s="6"/>
      <c r="U51" s="6"/>
      <c r="V51" s="6"/>
      <c r="W51" s="6"/>
      <c r="X51" s="6"/>
      <c r="Y51" s="6"/>
      <c r="Z51" s="6"/>
    </row>
    <row r="52" ht="21.0" customHeight="1">
      <c r="A52" s="8" t="s">
        <v>191</v>
      </c>
      <c r="B52" s="9" t="s">
        <v>192</v>
      </c>
      <c r="C52" s="10" t="str">
        <f t="shared" si="1"/>
        <v>https://jonathan-harris.online/ebooks/artificial-intelligence-for-wildlife-conservation-revolutionizing-biodiversity-protection-through-technology/</v>
      </c>
      <c r="D52" s="11" t="s">
        <v>193</v>
      </c>
      <c r="E52" s="11" t="s">
        <v>148</v>
      </c>
      <c r="F52" s="12" t="s">
        <v>194</v>
      </c>
      <c r="G52" s="12" t="s">
        <v>195</v>
      </c>
      <c r="H52" s="11"/>
      <c r="I52" s="11" t="str">
        <f>IFERROR(VLOOKUP($F52,'BuyNow Redirects'!$C$2:$J$37,5,FALSE),"")</f>
        <v>B0DQK6B53Z</v>
      </c>
      <c r="J52" s="13">
        <f>IFERROR(VLOOKUP($F52,'BuyNow Redirects'!$C$2:$J$37,6,FALSE),"")</f>
        <v>221</v>
      </c>
      <c r="K52" s="14">
        <f>IFERROR(VLOOKUP($F52,'BuyNow Redirects'!$C$2:$J$37,7,FALSE),"")</f>
        <v>45641</v>
      </c>
      <c r="L52" s="25" t="str">
        <f>IFERROR(VLOOKUP($F52,'BuyNow Redirects'!$C$2:$J$37,8,FALSE),"")</f>
        <v>https://images.jonathan-harris.online/artificial-intelligence-wildlife-conservation-webp</v>
      </c>
      <c r="M52" s="6"/>
      <c r="N52" s="6"/>
      <c r="O52" s="6"/>
      <c r="P52" s="6"/>
      <c r="Q52" s="6"/>
      <c r="R52" s="6"/>
      <c r="S52" s="6"/>
      <c r="T52" s="6"/>
      <c r="U52" s="6"/>
      <c r="V52" s="6"/>
      <c r="W52" s="6"/>
      <c r="X52" s="6"/>
      <c r="Y52" s="6"/>
      <c r="Z52" s="6"/>
    </row>
    <row r="53" ht="21.0" customHeight="1">
      <c r="A53" s="15" t="s">
        <v>196</v>
      </c>
      <c r="B53" s="16" t="s">
        <v>197</v>
      </c>
      <c r="C53" s="17" t="str">
        <f t="shared" si="1"/>
        <v>https://jonathan-harris.online/ebooks/artificial-intelligence-in-banking-revolutionizing-finance-and-data-security/</v>
      </c>
      <c r="D53" s="18" t="s">
        <v>198</v>
      </c>
      <c r="E53" s="18" t="s">
        <v>148</v>
      </c>
      <c r="F53" s="19" t="s">
        <v>199</v>
      </c>
      <c r="G53" s="19" t="s">
        <v>200</v>
      </c>
      <c r="H53" s="18"/>
      <c r="I53" s="18" t="str">
        <f>IFERROR(VLOOKUP($F53,'BuyNow Redirects'!$C$2:$J$37,5,FALSE),"")</f>
        <v>B0DML75B3C</v>
      </c>
      <c r="J53" s="21">
        <f>IFERROR(VLOOKUP($F53,'BuyNow Redirects'!$C$2:$J$37,6,FALSE),"")</f>
        <v>286</v>
      </c>
      <c r="K53" s="22">
        <f>IFERROR(VLOOKUP($F53,'BuyNow Redirects'!$C$2:$J$37,7,FALSE),"")</f>
        <v>45605</v>
      </c>
      <c r="L53" s="24" t="str">
        <f>IFERROR(VLOOKUP($F53,'BuyNow Redirects'!$C$2:$J$37,8,FALSE),"")</f>
        <v>https://images.jonathan-harris.online/artificial-intelligence-banking-finance-webp</v>
      </c>
      <c r="M53" s="6"/>
      <c r="N53" s="6"/>
      <c r="O53" s="6"/>
      <c r="P53" s="6"/>
      <c r="Q53" s="6"/>
      <c r="R53" s="6"/>
      <c r="S53" s="6"/>
      <c r="T53" s="6"/>
      <c r="U53" s="6"/>
      <c r="V53" s="6"/>
      <c r="W53" s="6"/>
      <c r="X53" s="6"/>
      <c r="Y53" s="6"/>
      <c r="Z53" s="6"/>
    </row>
    <row r="54" ht="21.0" customHeight="1">
      <c r="A54" s="8" t="s">
        <v>201</v>
      </c>
      <c r="B54" s="9" t="s">
        <v>202</v>
      </c>
      <c r="C54" s="10" t="str">
        <f t="shared" si="1"/>
        <v>https://jonathan-harris.online/ebooks/artificial-intelligence-in-construction-building-a-sustainable-future/</v>
      </c>
      <c r="D54" s="11" t="s">
        <v>203</v>
      </c>
      <c r="E54" s="11" t="s">
        <v>148</v>
      </c>
      <c r="F54" s="12" t="s">
        <v>204</v>
      </c>
      <c r="G54" s="12" t="s">
        <v>205</v>
      </c>
      <c r="H54" s="11"/>
      <c r="I54" s="11" t="str">
        <f>IFERROR(VLOOKUP($F54,'BuyNow Redirects'!$C$2:$J$37,5,FALSE),"")</f>
        <v>B0DMQMGLP4</v>
      </c>
      <c r="J54" s="13">
        <f>IFERROR(VLOOKUP($F54,'BuyNow Redirects'!$C$2:$J$37,6,FALSE),"")</f>
        <v>319</v>
      </c>
      <c r="K54" s="14">
        <f>IFERROR(VLOOKUP($F54,'BuyNow Redirects'!$C$2:$J$37,7,FALSE),"")</f>
        <v>45607</v>
      </c>
      <c r="L54" s="25" t="str">
        <f>IFERROR(VLOOKUP($F54,'BuyNow Redirects'!$C$2:$J$37,8,FALSE),"")</f>
        <v>https://images.jonathan-harris.online/artificial-intelligence-construction-building-webp</v>
      </c>
      <c r="M54" s="6"/>
      <c r="N54" s="6"/>
      <c r="O54" s="6"/>
      <c r="P54" s="6"/>
      <c r="Q54" s="6"/>
      <c r="R54" s="6"/>
      <c r="S54" s="6"/>
      <c r="T54" s="6"/>
      <c r="U54" s="6"/>
      <c r="V54" s="6"/>
      <c r="W54" s="6"/>
      <c r="X54" s="6"/>
      <c r="Y54" s="6"/>
      <c r="Z54" s="6"/>
    </row>
    <row r="55" ht="21.0" customHeight="1">
      <c r="A55" s="15" t="s">
        <v>206</v>
      </c>
      <c r="B55" s="16" t="s">
        <v>207</v>
      </c>
      <c r="C55" s="17" t="str">
        <f t="shared" si="1"/>
        <v>https://jonathan-harris.online/ebooks/artificial-intelligence-in-industry-a-comprehensive-guide/</v>
      </c>
      <c r="D55" s="18" t="s">
        <v>208</v>
      </c>
      <c r="E55" s="18" t="s">
        <v>148</v>
      </c>
      <c r="F55" s="19" t="s">
        <v>209</v>
      </c>
      <c r="G55" s="19" t="s">
        <v>210</v>
      </c>
      <c r="H55" s="18"/>
      <c r="I55" s="18" t="str">
        <f>IFERROR(VLOOKUP($F55,'BuyNow Redirects'!$C$2:$J$37,5,FALSE),"")</f>
        <v>B0DMV47ZRL</v>
      </c>
      <c r="J55" s="21">
        <f>IFERROR(VLOOKUP($F55,'BuyNow Redirects'!$C$2:$J$37,6,FALSE),"")</f>
        <v>347</v>
      </c>
      <c r="K55" s="22">
        <f>IFERROR(VLOOKUP($F55,'BuyNow Redirects'!$C$2:$J$37,7,FALSE),"")</f>
        <v>45608</v>
      </c>
      <c r="L55" s="24" t="str">
        <f>IFERROR(VLOOKUP($F55,'BuyNow Redirects'!$C$2:$J$37,8,FALSE),"")</f>
        <v>https://images.jonathan-harris.online/artificial-intelligence-industry-comprehensive-webp</v>
      </c>
      <c r="M55" s="6"/>
      <c r="N55" s="6"/>
      <c r="O55" s="6"/>
      <c r="P55" s="6"/>
      <c r="Q55" s="6"/>
      <c r="R55" s="6"/>
      <c r="S55" s="6"/>
      <c r="T55" s="6"/>
      <c r="U55" s="6"/>
      <c r="V55" s="6"/>
      <c r="W55" s="6"/>
      <c r="X55" s="6"/>
      <c r="Y55" s="6"/>
      <c r="Z55" s="6"/>
    </row>
    <row r="56" ht="21.0" customHeight="1">
      <c r="A56" s="8" t="s">
        <v>211</v>
      </c>
      <c r="B56" s="9" t="s">
        <v>212</v>
      </c>
      <c r="C56" s="10" t="str">
        <f t="shared" si="1"/>
        <v>https://jonathan-harris.online/ebooks/artificial-intelligence-in-logistics-optimizing-efficiency-and-sustainability/</v>
      </c>
      <c r="D56" s="11" t="s">
        <v>213</v>
      </c>
      <c r="E56" s="11" t="s">
        <v>148</v>
      </c>
      <c r="F56" s="12" t="s">
        <v>214</v>
      </c>
      <c r="G56" s="12" t="s">
        <v>215</v>
      </c>
      <c r="H56" s="11"/>
      <c r="I56" s="11" t="str">
        <f>IFERROR(VLOOKUP($F56,'BuyNow Redirects'!$C$2:$J$37,5,FALSE),"")</f>
        <v>B0DMQLK6LY</v>
      </c>
      <c r="J56" s="13">
        <f>IFERROR(VLOOKUP($F56,'BuyNow Redirects'!$C$2:$J$37,6,FALSE),"")</f>
        <v>339</v>
      </c>
      <c r="K56" s="14">
        <f>IFERROR(VLOOKUP($F56,'BuyNow Redirects'!$C$2:$J$37,7,FALSE),"")</f>
        <v>45607</v>
      </c>
      <c r="L56" s="25" t="str">
        <f>IFERROR(VLOOKUP($F56,'BuyNow Redirects'!$C$2:$J$37,8,FALSE),"")</f>
        <v>https://images.jonathan-harris.online/artificial-intelligence-logistics-webp</v>
      </c>
      <c r="M56" s="6"/>
      <c r="N56" s="6"/>
      <c r="O56" s="6"/>
      <c r="P56" s="6"/>
      <c r="Q56" s="6"/>
      <c r="R56" s="6"/>
      <c r="S56" s="6"/>
      <c r="T56" s="6"/>
      <c r="U56" s="6"/>
      <c r="V56" s="6"/>
      <c r="W56" s="6"/>
      <c r="X56" s="6"/>
      <c r="Y56" s="6"/>
      <c r="Z56" s="6"/>
    </row>
    <row r="57" ht="21.0" customHeight="1">
      <c r="A57" s="15" t="s">
        <v>216</v>
      </c>
      <c r="B57" s="16" t="s">
        <v>217</v>
      </c>
      <c r="C57" s="17" t="str">
        <f t="shared" si="1"/>
        <v>https://jonathan-harris.online/ebooks/artificial-intelligence-in-pharmaceuticals-revolutionizing-healthcare/</v>
      </c>
      <c r="D57" s="18" t="s">
        <v>218</v>
      </c>
      <c r="E57" s="18" t="s">
        <v>148</v>
      </c>
      <c r="F57" s="19" t="s">
        <v>219</v>
      </c>
      <c r="G57" s="19" t="s">
        <v>220</v>
      </c>
      <c r="H57" s="18"/>
      <c r="I57" s="18" t="str">
        <f>IFERROR(VLOOKUP($F57,'BuyNow Redirects'!$C$2:$J$37,5,FALSE),"")</f>
        <v>B0DN4XSLK9</v>
      </c>
      <c r="J57" s="21">
        <f>IFERROR(VLOOKUP($F57,'BuyNow Redirects'!$C$2:$J$37,6,FALSE),"")</f>
        <v>328</v>
      </c>
      <c r="K57" s="22">
        <f>IFERROR(VLOOKUP($F57,'BuyNow Redirects'!$C$2:$J$37,7,FALSE),"")</f>
        <v>45610</v>
      </c>
      <c r="L57" s="24" t="str">
        <f>IFERROR(VLOOKUP($F57,'BuyNow Redirects'!$C$2:$J$37,8,FALSE),"")</f>
        <v>https://images.jonathan-harris.online/artificial-intelligence-pharmaceuticals-revolutionizing-healthcare-webp</v>
      </c>
      <c r="M57" s="6"/>
      <c r="N57" s="6"/>
      <c r="O57" s="6"/>
      <c r="P57" s="6"/>
      <c r="Q57" s="6"/>
      <c r="R57" s="6"/>
      <c r="S57" s="6"/>
      <c r="T57" s="6"/>
      <c r="U57" s="6"/>
      <c r="V57" s="6"/>
      <c r="W57" s="6"/>
      <c r="X57" s="6"/>
      <c r="Y57" s="6"/>
      <c r="Z57" s="6"/>
    </row>
    <row r="58" ht="21.0" customHeight="1">
      <c r="A58" s="8" t="s">
        <v>221</v>
      </c>
      <c r="B58" s="9" t="s">
        <v>222</v>
      </c>
      <c r="C58" s="10" t="str">
        <f t="shared" si="1"/>
        <v>https://jonathan-harris.online/ebooks/artificial-intelligence-in-sports-revolutionizing-performance-and-fan-engagement/</v>
      </c>
      <c r="D58" s="11" t="s">
        <v>223</v>
      </c>
      <c r="E58" s="11" t="s">
        <v>148</v>
      </c>
      <c r="F58" s="12" t="s">
        <v>224</v>
      </c>
      <c r="G58" s="12" t="s">
        <v>225</v>
      </c>
      <c r="H58" s="11"/>
      <c r="I58" s="11" t="str">
        <f>IFERROR(VLOOKUP($F58,'BuyNow Redirects'!$C$2:$J$37,5,FALSE),"")</f>
        <v>B0DQFJ6XP5</v>
      </c>
      <c r="J58" s="13">
        <f>IFERROR(VLOOKUP($F58,'BuyNow Redirects'!$C$2:$J$37,6,FALSE),"")</f>
        <v>229</v>
      </c>
      <c r="K58" s="14">
        <f>IFERROR(VLOOKUP($F58,'BuyNow Redirects'!$C$2:$J$37,7,FALSE),"")</f>
        <v>45638</v>
      </c>
      <c r="L58" s="25" t="str">
        <f>IFERROR(VLOOKUP($F58,'BuyNow Redirects'!$C$2:$J$37,8,FALSE),"")</f>
        <v>https://images.jonathan-harris.online/artificial-intelligence-sports-performance-webp</v>
      </c>
      <c r="M58" s="6"/>
      <c r="N58" s="6"/>
      <c r="O58" s="6"/>
      <c r="P58" s="6"/>
      <c r="Q58" s="6"/>
      <c r="R58" s="6"/>
      <c r="S58" s="6"/>
      <c r="T58" s="6"/>
      <c r="U58" s="6"/>
      <c r="V58" s="6"/>
      <c r="W58" s="6"/>
      <c r="X58" s="6"/>
      <c r="Y58" s="6"/>
      <c r="Z58" s="6"/>
    </row>
    <row r="59" ht="21.0" customHeight="1">
      <c r="A59" s="15" t="s">
        <v>226</v>
      </c>
      <c r="B59" s="16" t="s">
        <v>227</v>
      </c>
      <c r="C59" s="17" t="str">
        <f t="shared" si="1"/>
        <v>https://jonathan-harris.online/ebooks/artificial-intelligence-in-veterinary-medicine-transforming-animal-healthcare-through-innovation/</v>
      </c>
      <c r="D59" s="18" t="s">
        <v>228</v>
      </c>
      <c r="E59" s="18" t="s">
        <v>148</v>
      </c>
      <c r="F59" s="19" t="s">
        <v>229</v>
      </c>
      <c r="G59" s="19" t="s">
        <v>230</v>
      </c>
      <c r="H59" s="18"/>
      <c r="I59" s="18" t="str">
        <f>IFERROR(VLOOKUP($F59,'BuyNow Redirects'!$C$2:$J$37,5,FALSE),"")</f>
        <v>B0DQK6C563</v>
      </c>
      <c r="J59" s="21">
        <f>IFERROR(VLOOKUP($F59,'BuyNow Redirects'!$C$2:$J$37,6,FALSE),"")</f>
        <v>205</v>
      </c>
      <c r="K59" s="22">
        <f>IFERROR(VLOOKUP($F59,'BuyNow Redirects'!$C$2:$J$37,7,FALSE),"")</f>
        <v>45641</v>
      </c>
      <c r="L59" s="24" t="str">
        <f>IFERROR(VLOOKUP($F59,'BuyNow Redirects'!$C$2:$J$37,8,FALSE),"")</f>
        <v>https://images.jonathan-harris.online/artificial-intelligence-veterinary-medicine-webp</v>
      </c>
      <c r="M59" s="6"/>
      <c r="N59" s="6"/>
      <c r="O59" s="6"/>
      <c r="P59" s="6"/>
      <c r="Q59" s="6"/>
      <c r="R59" s="6"/>
      <c r="S59" s="6"/>
      <c r="T59" s="6"/>
      <c r="U59" s="6"/>
      <c r="V59" s="6"/>
      <c r="W59" s="6"/>
      <c r="X59" s="6"/>
      <c r="Y59" s="6"/>
      <c r="Z59" s="6"/>
    </row>
    <row r="60" ht="21.0" customHeight="1">
      <c r="A60" s="8" t="s">
        <v>231</v>
      </c>
      <c r="B60" s="9" t="s">
        <v>232</v>
      </c>
      <c r="C60" s="10" t="str">
        <f t="shared" si="1"/>
        <v>https://jonathan-harris.online/ebooks/artificial-intelligence-powered-retail-revolutionizing-customer-experience-for-a-sustainable-future/</v>
      </c>
      <c r="D60" s="11" t="s">
        <v>233</v>
      </c>
      <c r="E60" s="11" t="s">
        <v>148</v>
      </c>
      <c r="F60" s="12" t="s">
        <v>234</v>
      </c>
      <c r="G60" s="12" t="s">
        <v>235</v>
      </c>
      <c r="H60" s="11"/>
      <c r="I60" s="11" t="str">
        <f>IFERROR(VLOOKUP($F60,'BuyNow Redirects'!$C$2:$J$37,5,FALSE),"")</f>
        <v>B0DMYHW17M</v>
      </c>
      <c r="J60" s="13">
        <f>IFERROR(VLOOKUP($F60,'BuyNow Redirects'!$C$2:$J$37,6,FALSE),"")</f>
        <v>234</v>
      </c>
      <c r="K60" s="14">
        <f>IFERROR(VLOOKUP($F60,'BuyNow Redirects'!$C$2:$J$37,7,FALSE),"")</f>
        <v>45609</v>
      </c>
      <c r="L60" s="25" t="str">
        <f>IFERROR(VLOOKUP($F60,'BuyNow Redirects'!$C$2:$J$37,8,FALSE),"")</f>
        <v>https://images.jonathan-harris.online/artificial-intelligence-retail-customer-webp</v>
      </c>
      <c r="M60" s="6"/>
      <c r="N60" s="6"/>
      <c r="O60" s="6"/>
      <c r="P60" s="6"/>
      <c r="Q60" s="6"/>
      <c r="R60" s="6"/>
      <c r="S60" s="6"/>
      <c r="T60" s="6"/>
      <c r="U60" s="6"/>
      <c r="V60" s="6"/>
      <c r="W60" s="6"/>
      <c r="X60" s="6"/>
      <c r="Y60" s="6"/>
      <c r="Z60" s="6"/>
    </row>
    <row r="61" ht="21.0" customHeight="1">
      <c r="A61" s="15" t="s">
        <v>236</v>
      </c>
      <c r="B61" s="16" t="s">
        <v>237</v>
      </c>
      <c r="C61" s="17" t="str">
        <f t="shared" si="1"/>
        <v>https://jonathan-harris.online/ebooks/artificial-intelligence-revolution-in-manufacturing-modernizing-operations-maintenance-and-service-delivery/</v>
      </c>
      <c r="D61" s="18" t="s">
        <v>238</v>
      </c>
      <c r="E61" s="18" t="s">
        <v>148</v>
      </c>
      <c r="F61" s="19" t="s">
        <v>239</v>
      </c>
      <c r="G61" s="19" t="s">
        <v>240</v>
      </c>
      <c r="H61" s="18"/>
      <c r="I61" s="18" t="str">
        <f>IFERROR(VLOOKUP($F61,'BuyNow Redirects'!$C$2:$J$37,5,FALSE),"")</f>
        <v>B0DMV2Q6TF</v>
      </c>
      <c r="J61" s="21">
        <f>IFERROR(VLOOKUP($F61,'BuyNow Redirects'!$C$2:$J$37,6,FALSE),"")</f>
        <v>369</v>
      </c>
      <c r="K61" s="22">
        <f>IFERROR(VLOOKUP($F61,'BuyNow Redirects'!$C$2:$J$37,7,FALSE),"")</f>
        <v>45608</v>
      </c>
      <c r="L61" s="24" t="str">
        <f>IFERROR(VLOOKUP($F61,'BuyNow Redirects'!$C$2:$J$37,8,FALSE),"")</f>
        <v>https://images.jonathan-harris.online/artificial-intelligence-revolution-manufacturing-webp</v>
      </c>
      <c r="M61" s="6"/>
      <c r="N61" s="6"/>
      <c r="O61" s="6"/>
      <c r="P61" s="6"/>
      <c r="Q61" s="6"/>
      <c r="R61" s="6"/>
      <c r="S61" s="6"/>
      <c r="T61" s="6"/>
      <c r="U61" s="6"/>
      <c r="V61" s="6"/>
      <c r="W61" s="6"/>
      <c r="X61" s="6"/>
      <c r="Y61" s="6"/>
      <c r="Z61" s="6"/>
    </row>
    <row r="62" ht="21.0" customHeight="1">
      <c r="A62" s="8" t="s">
        <v>241</v>
      </c>
      <c r="B62" s="9" t="s">
        <v>242</v>
      </c>
      <c r="C62" s="10" t="str">
        <f t="shared" si="1"/>
        <v>https://jonathan-harris.online/ebooks/beyond-earth-how-ai-is-transforming-space-exploration/</v>
      </c>
      <c r="D62" s="11" t="s">
        <v>243</v>
      </c>
      <c r="E62" s="11" t="s">
        <v>148</v>
      </c>
      <c r="F62" s="12" t="s">
        <v>244</v>
      </c>
      <c r="G62" s="12" t="s">
        <v>245</v>
      </c>
      <c r="H62" s="11"/>
      <c r="I62" s="11" t="str">
        <f>IFERROR(VLOOKUP($F62,'BuyNow Redirects'!$C$2:$J$37,5,FALSE),"")</f>
        <v>B0DY4Q2Q2D</v>
      </c>
      <c r="J62" s="13">
        <f>IFERROR(VLOOKUP($F62,'BuyNow Redirects'!$C$2:$J$37,6,FALSE),"")</f>
        <v>350</v>
      </c>
      <c r="K62" s="14">
        <f>IFERROR(VLOOKUP($F62,'BuyNow Redirects'!$C$2:$J$37,7,FALSE),"")</f>
        <v>45709</v>
      </c>
      <c r="L62" s="25" t="str">
        <f>IFERROR(VLOOKUP($F62,'BuyNow Redirects'!$C$2:$J$37,8,FALSE),"")</f>
        <v>https://images.jonathan-harris.online/ai-earth-space-exploration-webp</v>
      </c>
      <c r="M62" s="6"/>
      <c r="N62" s="6"/>
      <c r="O62" s="6"/>
      <c r="P62" s="6"/>
      <c r="Q62" s="6"/>
      <c r="R62" s="6"/>
      <c r="S62" s="6"/>
      <c r="T62" s="6"/>
      <c r="U62" s="6"/>
      <c r="V62" s="6"/>
      <c r="W62" s="6"/>
      <c r="X62" s="6"/>
      <c r="Y62" s="6"/>
      <c r="Z62" s="6"/>
    </row>
    <row r="63" ht="21.0" customHeight="1">
      <c r="A63" s="15" t="s">
        <v>246</v>
      </c>
      <c r="B63" s="16" t="s">
        <v>247</v>
      </c>
      <c r="C63" s="17" t="str">
        <f t="shared" si="1"/>
        <v>https://jonathan-harris.online/ebooks/climate-intelligence-harnessing-ai-for-a-greener-future/</v>
      </c>
      <c r="D63" s="18" t="s">
        <v>248</v>
      </c>
      <c r="E63" s="18" t="s">
        <v>148</v>
      </c>
      <c r="F63" s="19" t="s">
        <v>249</v>
      </c>
      <c r="G63" s="19" t="s">
        <v>250</v>
      </c>
      <c r="H63" s="18"/>
      <c r="I63" s="18" t="str">
        <f>IFERROR(VLOOKUP($F63,'BuyNow Redirects'!$C$2:$J$37,5,FALSE),"")</f>
        <v>B0DM72JZ44</v>
      </c>
      <c r="J63" s="21">
        <f>IFERROR(VLOOKUP($F63,'BuyNow Redirects'!$C$2:$J$37,6,FALSE),"")</f>
        <v>338</v>
      </c>
      <c r="K63" s="22">
        <f>IFERROR(VLOOKUP($F63,'BuyNow Redirects'!$C$2:$J$37,7,FALSE),"")</f>
        <v>45602</v>
      </c>
      <c r="L63" s="24" t="str">
        <f>IFERROR(VLOOKUP($F63,'BuyNow Redirects'!$C$2:$J$37,8,FALSE),"")</f>
        <v>https://images.jonathan-harris.online/ai-climate-intelligence-greener-webp</v>
      </c>
      <c r="M63" s="6"/>
      <c r="N63" s="6"/>
      <c r="O63" s="6"/>
      <c r="P63" s="6"/>
      <c r="Q63" s="6"/>
      <c r="R63" s="6"/>
      <c r="S63" s="6"/>
      <c r="T63" s="6"/>
      <c r="U63" s="6"/>
      <c r="V63" s="6"/>
      <c r="W63" s="6"/>
      <c r="X63" s="6"/>
      <c r="Y63" s="6"/>
      <c r="Z63" s="6"/>
    </row>
    <row r="64" ht="21.0" customHeight="1">
      <c r="A64" s="8" t="s">
        <v>251</v>
      </c>
      <c r="B64" s="9" t="s">
        <v>252</v>
      </c>
      <c r="C64" s="10" t="str">
        <f t="shared" si="1"/>
        <v>https://jonathan-harris.online/ebooks/digital-defense-the-role-of-ai-in-modern-warfare/</v>
      </c>
      <c r="D64" s="11" t="s">
        <v>253</v>
      </c>
      <c r="E64" s="11" t="s">
        <v>148</v>
      </c>
      <c r="F64" s="12" t="s">
        <v>254</v>
      </c>
      <c r="G64" s="12" t="s">
        <v>255</v>
      </c>
      <c r="H64" s="11"/>
      <c r="I64" s="11" t="str">
        <f>IFERROR(VLOOKUP($F64,'BuyNow Redirects'!$C$2:$J$37,5,FALSE),"")</f>
        <v>B0DM8256SL</v>
      </c>
      <c r="J64" s="13">
        <f>IFERROR(VLOOKUP($F64,'BuyNow Redirects'!$C$2:$J$37,6,FALSE),"")</f>
        <v>296</v>
      </c>
      <c r="K64" s="14">
        <f>IFERROR(VLOOKUP($F64,'BuyNow Redirects'!$C$2:$J$37,7,FALSE),"")</f>
        <v>45602</v>
      </c>
      <c r="L64" s="25" t="str">
        <f>IFERROR(VLOOKUP($F64,'BuyNow Redirects'!$C$2:$J$37,8,FALSE),"")</f>
        <v>https://images.jonathan-harris.online/ai-digital-defense-modern-webp</v>
      </c>
      <c r="M64" s="6"/>
      <c r="N64" s="6"/>
      <c r="O64" s="6"/>
      <c r="P64" s="6"/>
      <c r="Q64" s="6"/>
      <c r="R64" s="6"/>
      <c r="S64" s="6"/>
      <c r="T64" s="6"/>
      <c r="U64" s="6"/>
      <c r="V64" s="6"/>
      <c r="W64" s="6"/>
      <c r="X64" s="6"/>
      <c r="Y64" s="6"/>
      <c r="Z64" s="6"/>
    </row>
    <row r="65" ht="21.0" customHeight="1">
      <c r="A65" s="15" t="s">
        <v>256</v>
      </c>
      <c r="B65" s="16" t="s">
        <v>257</v>
      </c>
      <c r="C65" s="17" t="str">
        <f t="shared" si="1"/>
        <v>https://jonathan-harris.online/ebooks/digital-diagnosis-how-ai-is-revolutionizing-healthcare/</v>
      </c>
      <c r="D65" s="18" t="s">
        <v>258</v>
      </c>
      <c r="E65" s="18" t="s">
        <v>148</v>
      </c>
      <c r="F65" s="19" t="s">
        <v>259</v>
      </c>
      <c r="G65" s="19" t="s">
        <v>260</v>
      </c>
      <c r="H65" s="18"/>
      <c r="I65" s="18" t="str">
        <f>IFERROR(VLOOKUP($F65,'BuyNow Redirects'!$C$2:$J$37,5,FALSE),"")</f>
        <v>B0DM73FR3W</v>
      </c>
      <c r="J65" s="21">
        <f>IFERROR(VLOOKUP($F65,'BuyNow Redirects'!$C$2:$J$37,6,FALSE),"")</f>
        <v>348</v>
      </c>
      <c r="K65" s="22">
        <f>IFERROR(VLOOKUP($F65,'BuyNow Redirects'!$C$2:$J$37,7,FALSE),"")</f>
        <v>45602</v>
      </c>
      <c r="L65" s="24" t="str">
        <f>IFERROR(VLOOKUP($F65,'BuyNow Redirects'!$C$2:$J$37,8,FALSE),"")</f>
        <v>https://images.jonathan-harris.online/ai-digital-diagnosis-healthcare-webp</v>
      </c>
      <c r="M65" s="6"/>
      <c r="N65" s="6"/>
      <c r="O65" s="6"/>
      <c r="P65" s="6"/>
      <c r="Q65" s="6"/>
      <c r="R65" s="6"/>
      <c r="S65" s="6"/>
      <c r="T65" s="6"/>
      <c r="U65" s="6"/>
      <c r="V65" s="6"/>
      <c r="W65" s="6"/>
      <c r="X65" s="6"/>
      <c r="Y65" s="6"/>
      <c r="Z65" s="6"/>
    </row>
    <row r="66" ht="21.0" customHeight="1">
      <c r="A66" s="8" t="s">
        <v>261</v>
      </c>
      <c r="B66" s="9" t="s">
        <v>262</v>
      </c>
      <c r="C66" s="10" t="str">
        <f t="shared" si="1"/>
        <v>https://jonathan-harris.online/ebooks/from-reporters-to-robots-how-ai-is-reshaping-journalism/</v>
      </c>
      <c r="D66" s="11" t="s">
        <v>263</v>
      </c>
      <c r="E66" s="11" t="s">
        <v>148</v>
      </c>
      <c r="F66" s="12" t="s">
        <v>264</v>
      </c>
      <c r="G66" s="12" t="s">
        <v>265</v>
      </c>
      <c r="H66" s="11"/>
      <c r="I66" s="11" t="str">
        <f>IFERROR(VLOOKUP($F66,'BuyNow Redirects'!$C$2:$J$37,5,FALSE),"")</f>
        <v>B0DY4NP1WF</v>
      </c>
      <c r="J66" s="13">
        <f>IFERROR(VLOOKUP($F66,'BuyNow Redirects'!$C$2:$J$37,6,FALSE),"")</f>
        <v>334</v>
      </c>
      <c r="K66" s="14">
        <f>IFERROR(VLOOKUP($F66,'BuyNow Redirects'!$C$2:$J$37,7,FALSE),"")</f>
        <v>45709</v>
      </c>
      <c r="L66" s="25" t="str">
        <f>IFERROR(VLOOKUP($F66,'BuyNow Redirects'!$C$2:$J$37,8,FALSE),"")</f>
        <v>https://images.jonathan-harris.online/ai-reporters-robots-reshaping-webp</v>
      </c>
      <c r="M66" s="6"/>
      <c r="N66" s="6"/>
      <c r="O66" s="6"/>
      <c r="P66" s="6"/>
      <c r="Q66" s="6"/>
      <c r="R66" s="6"/>
      <c r="S66" s="6"/>
      <c r="T66" s="6"/>
      <c r="U66" s="6"/>
      <c r="V66" s="6"/>
      <c r="W66" s="6"/>
      <c r="X66" s="6"/>
      <c r="Y66" s="6"/>
      <c r="Z66" s="6"/>
    </row>
    <row r="67" ht="21.0" customHeight="1">
      <c r="A67" s="15" t="s">
        <v>266</v>
      </c>
      <c r="B67" s="16" t="s">
        <v>267</v>
      </c>
      <c r="C67" s="17" t="str">
        <f t="shared" si="1"/>
        <v>https://jonathan-harris.online/ebooks/game-ai-unleashed-from-finite-state-machines-to-machine-learning/</v>
      </c>
      <c r="D67" s="18" t="s">
        <v>268</v>
      </c>
      <c r="E67" s="18" t="s">
        <v>148</v>
      </c>
      <c r="F67" s="19" t="s">
        <v>269</v>
      </c>
      <c r="G67" s="19" t="s">
        <v>270</v>
      </c>
      <c r="H67" s="18"/>
      <c r="I67" s="18" t="str">
        <f>IFERROR(VLOOKUP($F67,'BuyNow Redirects'!$C$2:$J$37,5,FALSE),"")</f>
        <v>B0DY18CYT6</v>
      </c>
      <c r="J67" s="21">
        <f>IFERROR(VLOOKUP($F67,'BuyNow Redirects'!$C$2:$J$37,6,FALSE),"")</f>
        <v>344</v>
      </c>
      <c r="K67" s="22">
        <f>IFERROR(VLOOKUP($F67,'BuyNow Redirects'!$C$2:$J$37,7,FALSE),"")</f>
        <v>45708</v>
      </c>
      <c r="L67" s="24" t="str">
        <f>IFERROR(VLOOKUP($F67,'BuyNow Redirects'!$C$2:$J$37,8,FALSE),"")</f>
        <v>https://images.jonathan-harris.online/ai-game-unleashed-finite-webp</v>
      </c>
      <c r="M67" s="6"/>
      <c r="N67" s="6"/>
      <c r="O67" s="6"/>
      <c r="P67" s="6"/>
      <c r="Q67" s="6"/>
      <c r="R67" s="6"/>
      <c r="S67" s="6"/>
      <c r="T67" s="6"/>
      <c r="U67" s="6"/>
      <c r="V67" s="6"/>
      <c r="W67" s="6"/>
      <c r="X67" s="6"/>
      <c r="Y67" s="6"/>
      <c r="Z67" s="6"/>
    </row>
    <row r="68" ht="21.0" customHeight="1">
      <c r="A68" s="8" t="s">
        <v>271</v>
      </c>
      <c r="B68" s="9" t="s">
        <v>272</v>
      </c>
      <c r="C68" s="10" t="str">
        <f t="shared" si="1"/>
        <v>https://jonathan-harris.online/ebooks/lights-camera-algorithm-ai-s-role-in-modern-filmmaking/</v>
      </c>
      <c r="D68" s="11" t="s">
        <v>273</v>
      </c>
      <c r="E68" s="11" t="s">
        <v>148</v>
      </c>
      <c r="F68" s="12" t="s">
        <v>274</v>
      </c>
      <c r="G68" s="12" t="s">
        <v>275</v>
      </c>
      <c r="H68" s="11"/>
      <c r="I68" s="11" t="str">
        <f>IFERROR(VLOOKUP($F68,'BuyNow Redirects'!$C$2:$J$37,5,FALSE),"")</f>
        <v>B0DY672VRB</v>
      </c>
      <c r="J68" s="13">
        <f>IFERROR(VLOOKUP($F68,'BuyNow Redirects'!$C$2:$J$37,6,FALSE),"")</f>
        <v>336</v>
      </c>
      <c r="K68" s="14">
        <f>IFERROR(VLOOKUP($F68,'BuyNow Redirects'!$C$2:$J$37,7,FALSE),"")</f>
        <v>45710</v>
      </c>
      <c r="L68" s="25" t="str">
        <f>IFERROR(VLOOKUP($F68,'BuyNow Redirects'!$C$2:$J$37,8,FALSE),"")</f>
        <v>https://images.jonathan-harris.online/lights-camera-algorithm-ais-webp</v>
      </c>
      <c r="M68" s="6"/>
      <c r="N68" s="6"/>
      <c r="O68" s="6"/>
      <c r="P68" s="6"/>
      <c r="Q68" s="6"/>
      <c r="R68" s="6"/>
      <c r="S68" s="6"/>
      <c r="T68" s="6"/>
      <c r="U68" s="6"/>
      <c r="V68" s="6"/>
      <c r="W68" s="6"/>
      <c r="X68" s="6"/>
      <c r="Y68" s="6"/>
      <c r="Z68" s="6"/>
    </row>
    <row r="69" ht="21.0" customHeight="1">
      <c r="A69" s="15" t="s">
        <v>276</v>
      </c>
      <c r="B69" s="16" t="s">
        <v>277</v>
      </c>
      <c r="C69" s="17" t="str">
        <f t="shared" si="1"/>
        <v>https://jonathan-harris.online/ebooks/smart-buildings-ai-powered-efficiency-and-sustainability/</v>
      </c>
      <c r="D69" s="18" t="s">
        <v>278</v>
      </c>
      <c r="E69" s="18" t="s">
        <v>148</v>
      </c>
      <c r="F69" s="19" t="s">
        <v>279</v>
      </c>
      <c r="G69" s="19" t="s">
        <v>280</v>
      </c>
      <c r="H69" s="18"/>
      <c r="I69" s="18" t="str">
        <f>IFERROR(VLOOKUP($F69,'BuyNow Redirects'!$C$2:$J$37,5,FALSE),"")</f>
        <v>B0DMHBQVCR</v>
      </c>
      <c r="J69" s="21">
        <f>IFERROR(VLOOKUP($F69,'BuyNow Redirects'!$C$2:$J$37,6,FALSE),"")</f>
        <v>345</v>
      </c>
      <c r="K69" s="22">
        <f>IFERROR(VLOOKUP($F69,'BuyNow Redirects'!$C$2:$J$37,7,FALSE),"")</f>
        <v>45604</v>
      </c>
      <c r="L69" s="24" t="str">
        <f>IFERROR(VLOOKUP($F69,'BuyNow Redirects'!$C$2:$J$37,8,FALSE),"")</f>
        <v>https://images.jonathan-harris.online/ai-smart-buildings-webp</v>
      </c>
      <c r="M69" s="6"/>
      <c r="N69" s="6"/>
      <c r="O69" s="6"/>
      <c r="P69" s="6"/>
      <c r="Q69" s="6"/>
      <c r="R69" s="6"/>
      <c r="S69" s="6"/>
      <c r="T69" s="6"/>
      <c r="U69" s="6"/>
      <c r="V69" s="6"/>
      <c r="W69" s="6"/>
      <c r="X69" s="6"/>
      <c r="Y69" s="6"/>
      <c r="Z69" s="6"/>
    </row>
    <row r="70" ht="21.0" customHeight="1">
      <c r="A70" s="8" t="s">
        <v>281</v>
      </c>
      <c r="B70" s="9" t="s">
        <v>282</v>
      </c>
      <c r="C70" s="10" t="str">
        <f t="shared" si="1"/>
        <v>https://jonathan-harris.online/ebooks/the-ai-behind-your-feed-personalization-moderation-and-the-future-of-social-media/</v>
      </c>
      <c r="D70" s="11" t="s">
        <v>283</v>
      </c>
      <c r="E70" s="11" t="s">
        <v>148</v>
      </c>
      <c r="F70" s="12" t="s">
        <v>284</v>
      </c>
      <c r="G70" s="12" t="s">
        <v>285</v>
      </c>
      <c r="H70" s="11"/>
      <c r="I70" s="11" t="str">
        <f>IFERROR(VLOOKUP($F70,'BuyNow Redirects'!$C$2:$J$37,5,FALSE),"")</f>
        <v>B0DY12Z1SP</v>
      </c>
      <c r="J70" s="13">
        <f>IFERROR(VLOOKUP($F70,'BuyNow Redirects'!$C$2:$J$37,6,FALSE),"")</f>
        <v>334</v>
      </c>
      <c r="K70" s="14">
        <f>IFERROR(VLOOKUP($F70,'BuyNow Redirects'!$C$2:$J$37,7,FALSE),"")</f>
        <v>45708</v>
      </c>
      <c r="L70" s="25" t="str">
        <f>IFERROR(VLOOKUP($F70,'BuyNow Redirects'!$C$2:$J$37,8,FALSE),"")</f>
        <v>https://images.jonathan-harris.online/ai-behind-your-feed-webp</v>
      </c>
      <c r="M70" s="6"/>
      <c r="N70" s="6"/>
      <c r="O70" s="6"/>
      <c r="P70" s="6"/>
      <c r="Q70" s="6"/>
      <c r="R70" s="6"/>
      <c r="S70" s="6"/>
      <c r="T70" s="6"/>
      <c r="U70" s="6"/>
      <c r="V70" s="6"/>
      <c r="W70" s="6"/>
      <c r="X70" s="6"/>
      <c r="Y70" s="6"/>
      <c r="Z70" s="6"/>
    </row>
    <row r="71" ht="21.0" customHeight="1">
      <c r="A71" s="15" t="s">
        <v>286</v>
      </c>
      <c r="B71" s="16" t="s">
        <v>287</v>
      </c>
      <c r="C71" s="17" t="str">
        <f t="shared" si="1"/>
        <v>https://jonathan-harris.online/ebooks/the-ai-music-revolution-creativity-controversy-and-collaboration/</v>
      </c>
      <c r="D71" s="18" t="s">
        <v>288</v>
      </c>
      <c r="E71" s="18" t="s">
        <v>148</v>
      </c>
      <c r="F71" s="19" t="s">
        <v>289</v>
      </c>
      <c r="G71" s="19" t="s">
        <v>290</v>
      </c>
      <c r="H71" s="18"/>
      <c r="I71" s="18" t="str">
        <f>IFERROR(VLOOKUP($F71,'BuyNow Redirects'!$C$2:$J$37,5,FALSE),"")</f>
        <v>B0DY666TZJ</v>
      </c>
      <c r="J71" s="21">
        <f>IFERROR(VLOOKUP($F71,'BuyNow Redirects'!$C$2:$J$37,6,FALSE),"")</f>
        <v>295</v>
      </c>
      <c r="K71" s="22">
        <f>IFERROR(VLOOKUP($F71,'BuyNow Redirects'!$C$2:$J$37,7,FALSE),"")</f>
        <v>45710</v>
      </c>
      <c r="L71" s="24" t="str">
        <f>IFERROR(VLOOKUP($F71,'BuyNow Redirects'!$C$2:$J$37,8,FALSE),"")</f>
        <v>https://images.jonathan-harris.online/ai-music-revolution-creativity-webp</v>
      </c>
      <c r="M71" s="6"/>
      <c r="N71" s="6"/>
      <c r="O71" s="6"/>
      <c r="P71" s="6"/>
      <c r="Q71" s="6"/>
      <c r="R71" s="6"/>
      <c r="S71" s="6"/>
      <c r="T71" s="6"/>
      <c r="U71" s="6"/>
      <c r="V71" s="6"/>
      <c r="W71" s="6"/>
      <c r="X71" s="6"/>
      <c r="Y71" s="6"/>
      <c r="Z71" s="6"/>
    </row>
    <row r="72" ht="21.0" customHeight="1">
      <c r="A72" s="8" t="s">
        <v>291</v>
      </c>
      <c r="B72" s="9" t="s">
        <v>292</v>
      </c>
      <c r="C72" s="10" t="str">
        <f t="shared" si="1"/>
        <v>https://jonathan-harris.online/ebooks/the-architects-of-ai-pioneers-breakthroughs-and-the-road-ahead/</v>
      </c>
      <c r="D72" s="11" t="s">
        <v>293</v>
      </c>
      <c r="E72" s="11" t="s">
        <v>148</v>
      </c>
      <c r="F72" s="12" t="s">
        <v>294</v>
      </c>
      <c r="G72" s="12" t="s">
        <v>295</v>
      </c>
      <c r="H72" s="11"/>
      <c r="I72" s="11" t="str">
        <f>IFERROR(VLOOKUP($F72,'BuyNow Redirects'!$C$2:$J$37,5,FALSE),"")</f>
        <v>B0DY5MRT6K</v>
      </c>
      <c r="J72" s="13">
        <f>IFERROR(VLOOKUP($F72,'BuyNow Redirects'!$C$2:$J$37,6,FALSE),"")</f>
        <v>302</v>
      </c>
      <c r="K72" s="14">
        <f>IFERROR(VLOOKUP($F72,'BuyNow Redirects'!$C$2:$J$37,7,FALSE),"")</f>
        <v>45710</v>
      </c>
      <c r="L72" s="25" t="str">
        <f>IFERROR(VLOOKUP($F72,'BuyNow Redirects'!$C$2:$J$37,8,FALSE),"")</f>
        <v>https://images.jonathan-harris.online/architects-ai_-pioneers_-breakthroughs_-webp</v>
      </c>
      <c r="M72" s="6"/>
      <c r="N72" s="6"/>
      <c r="O72" s="6"/>
      <c r="P72" s="6"/>
      <c r="Q72" s="6"/>
      <c r="R72" s="6"/>
      <c r="S72" s="6"/>
      <c r="T72" s="6"/>
      <c r="U72" s="6"/>
      <c r="V72" s="6"/>
      <c r="W72" s="6"/>
      <c r="X72" s="6"/>
      <c r="Y72" s="6"/>
      <c r="Z72" s="6"/>
    </row>
    <row r="73" ht="21.0" customHeight="1">
      <c r="A73" s="15" t="s">
        <v>296</v>
      </c>
      <c r="B73" s="16" t="s">
        <v>297</v>
      </c>
      <c r="C73" s="17" t="str">
        <f t="shared" si="1"/>
        <v>https://jonathan-harris.online/ebooks/the-artificial-intelligence-job-shift-navigating-the-future-of-work/</v>
      </c>
      <c r="D73" s="18" t="s">
        <v>298</v>
      </c>
      <c r="E73" s="18" t="s">
        <v>148</v>
      </c>
      <c r="F73" s="19" t="s">
        <v>299</v>
      </c>
      <c r="G73" s="19" t="s">
        <v>300</v>
      </c>
      <c r="H73" s="18"/>
      <c r="I73" s="18" t="str">
        <f>IFERROR(VLOOKUP($F73,'BuyNow Redirects'!$C$2:$J$37,5,FALSE),"")</f>
        <v>B0DMQHQTQH</v>
      </c>
      <c r="J73" s="21">
        <f>IFERROR(VLOOKUP($F73,'BuyNow Redirects'!$C$2:$J$37,6,FALSE),"")</f>
        <v>315</v>
      </c>
      <c r="K73" s="22">
        <f>IFERROR(VLOOKUP($F73,'BuyNow Redirects'!$C$2:$J$37,7,FALSE),"")</f>
        <v>45607</v>
      </c>
      <c r="L73" s="24" t="str">
        <f>IFERROR(VLOOKUP($F73,'BuyNow Redirects'!$C$2:$J$37,8,FALSE),"")</f>
        <v>https://images.jonathan-harris.online/artificial-intelligence-job-shift-webp</v>
      </c>
      <c r="M73" s="6"/>
      <c r="N73" s="6"/>
      <c r="O73" s="6"/>
      <c r="P73" s="6"/>
      <c r="Q73" s="6"/>
      <c r="R73" s="6"/>
      <c r="S73" s="6"/>
      <c r="T73" s="6"/>
      <c r="U73" s="6"/>
      <c r="V73" s="6"/>
      <c r="W73" s="6"/>
      <c r="X73" s="6"/>
      <c r="Y73" s="6"/>
      <c r="Z73" s="6"/>
    </row>
    <row r="74" ht="21.0" customHeight="1">
      <c r="A74" s="8" t="s">
        <v>301</v>
      </c>
      <c r="B74" s="9" t="s">
        <v>302</v>
      </c>
      <c r="C74" s="10" t="str">
        <f t="shared" si="1"/>
        <v>https://jonathan-harris.online/ebooks/the-artificial-intelligence-revolution-from-algorithms-to-consciousness/</v>
      </c>
      <c r="D74" s="11" t="s">
        <v>303</v>
      </c>
      <c r="E74" s="11" t="s">
        <v>148</v>
      </c>
      <c r="F74" s="12" t="s">
        <v>304</v>
      </c>
      <c r="G74" s="12" t="s">
        <v>305</v>
      </c>
      <c r="H74" s="11"/>
      <c r="I74" s="11" t="str">
        <f>IFERROR(VLOOKUP($F74,'BuyNow Redirects'!$C$2:$J$37,5,FALSE),"")</f>
        <v>B0DMYF3YH3</v>
      </c>
      <c r="J74" s="13">
        <f>IFERROR(VLOOKUP($F74,'BuyNow Redirects'!$C$2:$J$37,6,FALSE),"")</f>
        <v>14</v>
      </c>
      <c r="K74" s="14">
        <f>IFERROR(VLOOKUP($F74,'BuyNow Redirects'!$C$2:$J$37,7,FALSE),"")</f>
        <v>45609</v>
      </c>
      <c r="L74" s="25" t="str">
        <f>IFERROR(VLOOKUP($F74,'BuyNow Redirects'!$C$2:$J$37,8,FALSE),"")</f>
        <v>https://images.jonathan-harris.online/artificial-intelligence-revolution-algorithms-webp</v>
      </c>
      <c r="M74" s="6"/>
      <c r="N74" s="6"/>
      <c r="O74" s="6"/>
      <c r="P74" s="6"/>
      <c r="Q74" s="6"/>
      <c r="R74" s="6"/>
      <c r="S74" s="6"/>
      <c r="T74" s="6"/>
      <c r="U74" s="6"/>
      <c r="V74" s="6"/>
      <c r="W74" s="6"/>
      <c r="X74" s="6"/>
      <c r="Y74" s="6"/>
      <c r="Z74" s="6"/>
    </row>
    <row r="75" ht="21.0" customHeight="1">
      <c r="A75" s="15" t="s">
        <v>306</v>
      </c>
      <c r="B75" s="16" t="s">
        <v>307</v>
      </c>
      <c r="C75" s="17" t="str">
        <f t="shared" si="1"/>
        <v>https://jonathan-harris.online/ebooks/the-autonomous-revolution-artificial-intelligence-and-the-future-of-the-automotive-industry/</v>
      </c>
      <c r="D75" s="18" t="s">
        <v>308</v>
      </c>
      <c r="E75" s="18" t="s">
        <v>148</v>
      </c>
      <c r="F75" s="19" t="s">
        <v>309</v>
      </c>
      <c r="G75" s="19" t="s">
        <v>310</v>
      </c>
      <c r="H75" s="18"/>
      <c r="I75" s="18" t="str">
        <f>IFERROR(VLOOKUP($F75,'BuyNow Redirects'!$C$2:$J$37,5,FALSE),"")</f>
        <v>B0DMYQV1LY</v>
      </c>
      <c r="J75" s="21">
        <f>IFERROR(VLOOKUP($F75,'BuyNow Redirects'!$C$2:$J$37,6,FALSE),"")</f>
        <v>324</v>
      </c>
      <c r="K75" s="22">
        <f>IFERROR(VLOOKUP($F75,'BuyNow Redirects'!$C$2:$J$37,7,FALSE),"")</f>
        <v>45609</v>
      </c>
      <c r="L75" s="24" t="str">
        <f>IFERROR(VLOOKUP($F75,'BuyNow Redirects'!$C$2:$J$37,8,FALSE),"")</f>
        <v>https://images.jonathan-harris.online/autonomous-revolution-artificial-intelligence-webp</v>
      </c>
      <c r="M75" s="6"/>
      <c r="N75" s="6"/>
      <c r="O75" s="6"/>
      <c r="P75" s="6"/>
      <c r="Q75" s="6"/>
      <c r="R75" s="6"/>
      <c r="S75" s="6"/>
      <c r="T75" s="6"/>
      <c r="U75" s="6"/>
      <c r="V75" s="6"/>
      <c r="W75" s="6"/>
      <c r="X75" s="6"/>
      <c r="Y75" s="6"/>
      <c r="Z75" s="6"/>
    </row>
    <row r="76" ht="21.0" customHeight="1">
      <c r="A76" s="8" t="s">
        <v>311</v>
      </c>
      <c r="B76" s="9" t="s">
        <v>312</v>
      </c>
      <c r="C76" s="10" t="str">
        <f t="shared" si="1"/>
        <v>https://jonathan-harris.online/ebooks/the-dumbening-how-ai-is-reshaping-our-minds/</v>
      </c>
      <c r="D76" s="11" t="s">
        <v>313</v>
      </c>
      <c r="E76" s="11" t="s">
        <v>148</v>
      </c>
      <c r="F76" s="12" t="s">
        <v>314</v>
      </c>
      <c r="G76" s="12" t="s">
        <v>315</v>
      </c>
      <c r="H76" s="11"/>
      <c r="I76" s="11" t="str">
        <f>IFERROR(VLOOKUP($F76,'BuyNow Redirects'!$C$2:$J$37,5,FALSE),"")</f>
        <v>B0DMMVN17Z</v>
      </c>
      <c r="J76" s="13">
        <f>IFERROR(VLOOKUP($F76,'BuyNow Redirects'!$C$2:$J$37,6,FALSE),"")</f>
        <v>277</v>
      </c>
      <c r="K76" s="14">
        <f>IFERROR(VLOOKUP($F76,'BuyNow Redirects'!$C$2:$J$37,7,FALSE),"")</f>
        <v>45606</v>
      </c>
      <c r="L76" s="25" t="str">
        <f>IFERROR(VLOOKUP($F76,'BuyNow Redirects'!$C$2:$J$37,8,FALSE),"")</f>
        <v>https://images.jonathan-harris.online/ai-dumbening-reshaping-our-webp</v>
      </c>
      <c r="M76" s="6"/>
      <c r="N76" s="6"/>
      <c r="O76" s="6"/>
      <c r="P76" s="6"/>
      <c r="Q76" s="6"/>
      <c r="R76" s="6"/>
      <c r="S76" s="6"/>
      <c r="T76" s="6"/>
      <c r="U76" s="6"/>
      <c r="V76" s="6"/>
      <c r="W76" s="6"/>
      <c r="X76" s="6"/>
      <c r="Y76" s="6"/>
      <c r="Z76" s="6"/>
    </row>
    <row r="77" ht="21.0" customHeight="1">
      <c r="A77" s="15" t="s">
        <v>316</v>
      </c>
      <c r="B77" s="16" t="s">
        <v>317</v>
      </c>
      <c r="C77" s="17" t="str">
        <f t="shared" si="1"/>
        <v>https://jonathan-harris.online/ebooks/the-future-of-government-leveraging-ai-to-enhance-services-and-safeguard-information/</v>
      </c>
      <c r="D77" s="18" t="s">
        <v>318</v>
      </c>
      <c r="E77" s="18" t="s">
        <v>148</v>
      </c>
      <c r="F77" s="19" t="s">
        <v>319</v>
      </c>
      <c r="G77" s="19" t="s">
        <v>320</v>
      </c>
      <c r="H77" s="18"/>
      <c r="I77" s="18" t="str">
        <f>IFERROR(VLOOKUP($F77,'BuyNow Redirects'!$C$2:$J$37,5,FALSE),"")</f>
        <v>B0DM74CRSD</v>
      </c>
      <c r="J77" s="21">
        <f>IFERROR(VLOOKUP($F77,'BuyNow Redirects'!$C$2:$J$37,6,FALSE),"")</f>
        <v>328</v>
      </c>
      <c r="K77" s="22">
        <f>IFERROR(VLOOKUP($F77,'BuyNow Redirects'!$C$2:$J$37,7,FALSE),"")</f>
        <v>45601</v>
      </c>
      <c r="L77" s="24" t="str">
        <f>IFERROR(VLOOKUP($F77,'BuyNow Redirects'!$C$2:$J$37,8,FALSE),"")</f>
        <v>https://images.jonathan-harris.online/ai-government-enhance-services-webp</v>
      </c>
      <c r="M77" s="6"/>
      <c r="N77" s="6"/>
      <c r="O77" s="6"/>
      <c r="P77" s="6"/>
      <c r="Q77" s="6"/>
      <c r="R77" s="6"/>
      <c r="S77" s="6"/>
      <c r="T77" s="6"/>
      <c r="U77" s="6"/>
      <c r="V77" s="6"/>
      <c r="W77" s="6"/>
      <c r="X77" s="6"/>
      <c r="Y77" s="6"/>
      <c r="Z77" s="6"/>
    </row>
    <row r="78" ht="21.0" customHeight="1">
      <c r="A78" s="8" t="s">
        <v>321</v>
      </c>
      <c r="B78" s="9" t="s">
        <v>322</v>
      </c>
      <c r="C78" s="10" t="str">
        <f t="shared" si="1"/>
        <v>https://jonathan-harris.online/ebooks/the-house-always-knows-ai-gambling-and-the-ethics-of-personalized-gaming/</v>
      </c>
      <c r="D78" s="11" t="s">
        <v>323</v>
      </c>
      <c r="E78" s="11" t="s">
        <v>148</v>
      </c>
      <c r="F78" s="12" t="s">
        <v>324</v>
      </c>
      <c r="G78" s="12" t="s">
        <v>325</v>
      </c>
      <c r="H78" s="11"/>
      <c r="I78" s="11" t="str">
        <f>IFERROR(VLOOKUP($F78,'BuyNow Redirects'!$C$2:$J$37,5,FALSE),"")</f>
        <v>B0DY4PSD8Z</v>
      </c>
      <c r="J78" s="13">
        <f>IFERROR(VLOOKUP($F78,'BuyNow Redirects'!$C$2:$J$37,6,FALSE),"")</f>
        <v>327</v>
      </c>
      <c r="K78" s="14">
        <f>IFERROR(VLOOKUP($F78,'BuyNow Redirects'!$C$2:$J$37,7,FALSE),"")</f>
        <v>45709</v>
      </c>
      <c r="L78" s="25" t="str">
        <f>IFERROR(VLOOKUP($F78,'BuyNow Redirects'!$C$2:$J$37,8,FALSE),"")</f>
        <v>https://images.jonathan-harris.online/ai-house-always-knows-webp</v>
      </c>
      <c r="M78" s="6"/>
      <c r="N78" s="6"/>
      <c r="O78" s="6"/>
      <c r="P78" s="6"/>
      <c r="Q78" s="6"/>
      <c r="R78" s="6"/>
      <c r="S78" s="6"/>
      <c r="T78" s="6"/>
      <c r="U78" s="6"/>
      <c r="V78" s="6"/>
      <c r="W78" s="6"/>
      <c r="X78" s="6"/>
      <c r="Y78" s="6"/>
      <c r="Z78" s="6"/>
    </row>
    <row r="79" ht="21.0" customHeight="1">
      <c r="A79" s="15" t="s">
        <v>326</v>
      </c>
      <c r="B79" s="16" t="s">
        <v>327</v>
      </c>
      <c r="C79" s="17" t="str">
        <f t="shared" si="1"/>
        <v>https://jonathan-harris.online/topics/generative-ai/</v>
      </c>
      <c r="D79" s="18" t="s">
        <v>328</v>
      </c>
      <c r="E79" s="18" t="s">
        <v>36</v>
      </c>
      <c r="F79" s="19"/>
      <c r="G79" s="19"/>
      <c r="H79" s="18"/>
      <c r="I79" s="18" t="str">
        <f>IFERROR(VLOOKUP($F79,'BuyNow Redirects'!$C$2:$J$37,5,FALSE),"")</f>
        <v/>
      </c>
      <c r="J79" s="21" t="str">
        <f>IFERROR(VLOOKUP($F79,'BuyNow Redirects'!$C$2:$J$37,6,FALSE),"")</f>
        <v/>
      </c>
      <c r="K79" s="22" t="str">
        <f>IFERROR(VLOOKUP($F79,'BuyNow Redirects'!$C$2:$J$37,7,FALSE),"")</f>
        <v/>
      </c>
      <c r="L79" s="19" t="str">
        <f>IFERROR(VLOOKUP($F79,'BuyNow Redirects'!$C$2:$J$37,8,FALSE),"")</f>
        <v/>
      </c>
      <c r="M79" s="6"/>
      <c r="N79" s="6"/>
      <c r="O79" s="6"/>
      <c r="P79" s="6"/>
      <c r="Q79" s="6"/>
      <c r="R79" s="6"/>
      <c r="S79" s="6"/>
      <c r="T79" s="6"/>
      <c r="U79" s="6"/>
      <c r="V79" s="6"/>
      <c r="W79" s="6"/>
      <c r="X79" s="6"/>
      <c r="Y79" s="6"/>
      <c r="Z79" s="6"/>
    </row>
    <row r="80" ht="21.0" customHeight="1">
      <c r="A80" s="8" t="s">
        <v>329</v>
      </c>
      <c r="B80" s="9" t="s">
        <v>330</v>
      </c>
      <c r="C80" s="10" t="str">
        <f t="shared" si="1"/>
        <v>https://jonathan-harris.online/glossary/</v>
      </c>
      <c r="D80" s="11" t="s">
        <v>331</v>
      </c>
      <c r="E80" s="11" t="s">
        <v>36</v>
      </c>
      <c r="F80" s="12"/>
      <c r="G80" s="12"/>
      <c r="H80" s="11"/>
      <c r="I80" s="11" t="str">
        <f>IFERROR(VLOOKUP($F80,'BuyNow Redirects'!$C$2:$J$37,5,FALSE),"")</f>
        <v/>
      </c>
      <c r="J80" s="13" t="str">
        <f>IFERROR(VLOOKUP($F80,'BuyNow Redirects'!$C$2:$J$37,6,FALSE),"")</f>
        <v/>
      </c>
      <c r="K80" s="14" t="str">
        <f>IFERROR(VLOOKUP($F80,'BuyNow Redirects'!$C$2:$J$37,7,FALSE),"")</f>
        <v/>
      </c>
      <c r="L80" s="12" t="str">
        <f>IFERROR(VLOOKUP($F80,'BuyNow Redirects'!$C$2:$J$37,8,FALSE),"")</f>
        <v/>
      </c>
      <c r="M80" s="6"/>
      <c r="N80" s="6"/>
      <c r="O80" s="6"/>
      <c r="P80" s="6"/>
      <c r="Q80" s="6"/>
      <c r="R80" s="6"/>
      <c r="S80" s="6"/>
      <c r="T80" s="6"/>
      <c r="U80" s="6"/>
      <c r="V80" s="6"/>
      <c r="W80" s="6"/>
      <c r="X80" s="6"/>
      <c r="Y80" s="6"/>
      <c r="Z80" s="6"/>
    </row>
    <row r="81" ht="21.0" customHeight="1">
      <c r="A81" s="15" t="s">
        <v>332</v>
      </c>
      <c r="B81" s="16" t="s">
        <v>333</v>
      </c>
      <c r="C81" s="17" t="str">
        <f t="shared" si="1"/>
        <v>https://jonathan-harris.online/newsletter/</v>
      </c>
      <c r="D81" s="18" t="s">
        <v>334</v>
      </c>
      <c r="E81" s="18" t="s">
        <v>36</v>
      </c>
      <c r="F81" s="19"/>
      <c r="G81" s="19"/>
      <c r="H81" s="20"/>
      <c r="I81" s="18" t="str">
        <f>IFERROR(VLOOKUP($F81,'BuyNow Redirects'!$C$2:$J$37,5,FALSE),"")</f>
        <v/>
      </c>
      <c r="J81" s="21" t="str">
        <f>IFERROR(VLOOKUP($F81,'BuyNow Redirects'!$C$2:$J$37,6,FALSE),"")</f>
        <v/>
      </c>
      <c r="K81" s="22" t="str">
        <f>IFERROR(VLOOKUP($F81,'BuyNow Redirects'!$C$2:$J$37,7,FALSE),"")</f>
        <v/>
      </c>
      <c r="L81" s="19" t="str">
        <f>IFERROR(VLOOKUP($F81,'BuyNow Redirects'!$C$2:$J$37,8,FALSE),"")</f>
        <v/>
      </c>
      <c r="M81" s="6"/>
      <c r="N81" s="6"/>
      <c r="O81" s="6"/>
      <c r="P81" s="6"/>
      <c r="Q81" s="6"/>
      <c r="R81" s="6"/>
      <c r="S81" s="6"/>
      <c r="T81" s="6"/>
      <c r="U81" s="6"/>
      <c r="V81" s="6"/>
      <c r="W81" s="6"/>
      <c r="X81" s="6"/>
      <c r="Y81" s="6"/>
      <c r="Z81" s="6"/>
    </row>
    <row r="82" ht="21.0" customHeight="1">
      <c r="A82" s="8" t="s">
        <v>335</v>
      </c>
      <c r="B82" s="9" t="s">
        <v>336</v>
      </c>
      <c r="C82" s="10" t="str">
        <f t="shared" si="1"/>
        <v>https://jonathan-harris.online/podcast/</v>
      </c>
      <c r="D82" s="11" t="s">
        <v>337</v>
      </c>
      <c r="E82" s="11" t="s">
        <v>36</v>
      </c>
      <c r="F82" s="12"/>
      <c r="G82" s="12"/>
      <c r="H82" s="20"/>
      <c r="I82" s="11" t="str">
        <f>IFERROR(VLOOKUP($F82,'BuyNow Redirects'!$C$2:$J$37,5,FALSE),"")</f>
        <v/>
      </c>
      <c r="J82" s="13" t="str">
        <f>IFERROR(VLOOKUP($F82,'BuyNow Redirects'!$C$2:$J$37,6,FALSE),"")</f>
        <v/>
      </c>
      <c r="K82" s="14" t="str">
        <f>IFERROR(VLOOKUP($F82,'BuyNow Redirects'!$C$2:$J$37,7,FALSE),"")</f>
        <v/>
      </c>
      <c r="L82" s="12" t="str">
        <f>IFERROR(VLOOKUP($F82,'BuyNow Redirects'!$C$2:$J$37,8,FALSE),"")</f>
        <v/>
      </c>
      <c r="M82" s="6"/>
      <c r="N82" s="6"/>
      <c r="O82" s="6"/>
      <c r="P82" s="6"/>
      <c r="Q82" s="6"/>
      <c r="R82" s="6"/>
      <c r="S82" s="6"/>
      <c r="T82" s="6"/>
      <c r="U82" s="6"/>
      <c r="V82" s="6"/>
      <c r="W82" s="6"/>
      <c r="X82" s="6"/>
      <c r="Y82" s="6"/>
      <c r="Z82" s="6"/>
    </row>
    <row r="83" ht="21.0" customHeight="1">
      <c r="A83" s="15" t="s">
        <v>338</v>
      </c>
      <c r="B83" s="16" t="s">
        <v>339</v>
      </c>
      <c r="C83" s="17" t="str">
        <f t="shared" si="1"/>
        <v>https://jonathan-harris.online/privacy-policy/</v>
      </c>
      <c r="D83" s="18" t="s">
        <v>340</v>
      </c>
      <c r="E83" s="18" t="s">
        <v>36</v>
      </c>
      <c r="F83" s="19"/>
      <c r="G83" s="19"/>
      <c r="H83" s="20"/>
      <c r="I83" s="18" t="str">
        <f>IFERROR(VLOOKUP($F83,'BuyNow Redirects'!$C$2:$J$37,5,FALSE),"")</f>
        <v/>
      </c>
      <c r="J83" s="21" t="str">
        <f>IFERROR(VLOOKUP($F83,'BuyNow Redirects'!$C$2:$J$37,6,FALSE),"")</f>
        <v/>
      </c>
      <c r="K83" s="22" t="str">
        <f>IFERROR(VLOOKUP($F83,'BuyNow Redirects'!$C$2:$J$37,7,FALSE),"")</f>
        <v/>
      </c>
      <c r="L83" s="19" t="str">
        <f>IFERROR(VLOOKUP($F83,'BuyNow Redirects'!$C$2:$J$37,8,FALSE),"")</f>
        <v/>
      </c>
      <c r="M83" s="6"/>
      <c r="N83" s="6"/>
      <c r="O83" s="6"/>
      <c r="P83" s="6"/>
      <c r="Q83" s="6"/>
      <c r="R83" s="6"/>
      <c r="S83" s="6"/>
      <c r="T83" s="6"/>
      <c r="U83" s="6"/>
      <c r="V83" s="6"/>
      <c r="W83" s="6"/>
      <c r="X83" s="6"/>
      <c r="Y83" s="6"/>
      <c r="Z83" s="6"/>
    </row>
    <row r="84" ht="21.0" customHeight="1">
      <c r="A84" s="8" t="s">
        <v>341</v>
      </c>
      <c r="B84" s="9" t="s">
        <v>342</v>
      </c>
      <c r="C84" s="10" t="str">
        <f t="shared" si="1"/>
        <v>https://jonathan-harris.online/topics/robotics-automation/</v>
      </c>
      <c r="D84" s="11" t="s">
        <v>343</v>
      </c>
      <c r="E84" s="11" t="s">
        <v>36</v>
      </c>
      <c r="F84" s="12"/>
      <c r="G84" s="12"/>
      <c r="H84" s="23"/>
      <c r="I84" s="11" t="str">
        <f>IFERROR(VLOOKUP($F84,'BuyNow Redirects'!$C$2:$J$37,5,FALSE),"")</f>
        <v/>
      </c>
      <c r="J84" s="13" t="str">
        <f>IFERROR(VLOOKUP($F84,'BuyNow Redirects'!$C$2:$J$37,6,FALSE),"")</f>
        <v/>
      </c>
      <c r="K84" s="14" t="str">
        <f>IFERROR(VLOOKUP($F84,'BuyNow Redirects'!$C$2:$J$37,7,FALSE),"")</f>
        <v/>
      </c>
      <c r="L84" s="12" t="str">
        <f>IFERROR(VLOOKUP($F84,'BuyNow Redirects'!$C$2:$J$37,8,FALSE),"")</f>
        <v/>
      </c>
      <c r="M84" s="6"/>
      <c r="N84" s="6"/>
      <c r="O84" s="6"/>
      <c r="P84" s="6"/>
      <c r="Q84" s="6"/>
      <c r="R84" s="6"/>
      <c r="S84" s="6"/>
      <c r="T84" s="6"/>
      <c r="U84" s="6"/>
      <c r="V84" s="6"/>
      <c r="W84" s="6"/>
      <c r="X84" s="6"/>
      <c r="Y84" s="6"/>
      <c r="Z84" s="6"/>
    </row>
    <row r="85" ht="21.0" customHeight="1">
      <c r="A85" s="15" t="s">
        <v>344</v>
      </c>
      <c r="B85" s="16" t="s">
        <v>345</v>
      </c>
      <c r="C85" s="17" t="str">
        <f t="shared" si="1"/>
        <v>https://jonathan-harris.online/terms-of-use/</v>
      </c>
      <c r="D85" s="18" t="s">
        <v>346</v>
      </c>
      <c r="E85" s="18" t="s">
        <v>36</v>
      </c>
      <c r="F85" s="19"/>
      <c r="G85" s="19"/>
      <c r="H85" s="20"/>
      <c r="I85" s="18" t="str">
        <f>IFERROR(VLOOKUP($F85,'BuyNow Redirects'!$C$2:$J$37,5,FALSE),"")</f>
        <v/>
      </c>
      <c r="J85" s="21" t="str">
        <f>IFERROR(VLOOKUP($F85,'BuyNow Redirects'!$C$2:$J$37,6,FALSE),"")</f>
        <v/>
      </c>
      <c r="K85" s="22" t="str">
        <f>IFERROR(VLOOKUP($F85,'BuyNow Redirects'!$C$2:$J$37,7,FALSE),"")</f>
        <v/>
      </c>
      <c r="L85" s="19" t="str">
        <f>IFERROR(VLOOKUP($F85,'BuyNow Redirects'!$C$2:$J$37,8,FALSE),"")</f>
        <v/>
      </c>
      <c r="M85" s="6"/>
      <c r="N85" s="6"/>
      <c r="O85" s="6"/>
      <c r="P85" s="6"/>
      <c r="Q85" s="6"/>
      <c r="R85" s="6"/>
      <c r="S85" s="6"/>
      <c r="T85" s="6"/>
      <c r="U85" s="6"/>
      <c r="V85" s="6"/>
      <c r="W85" s="6"/>
      <c r="X85" s="6"/>
      <c r="Y85" s="6"/>
      <c r="Z85" s="6"/>
    </row>
    <row r="86" ht="21.0" customHeight="1">
      <c r="A86" s="8" t="s">
        <v>347</v>
      </c>
      <c r="B86" s="9" t="s">
        <v>348</v>
      </c>
      <c r="C86" s="10" t="str">
        <f t="shared" si="1"/>
        <v>https://jonathan-harris.online/topics/</v>
      </c>
      <c r="D86" s="11" t="s">
        <v>349</v>
      </c>
      <c r="E86" s="11" t="s">
        <v>36</v>
      </c>
      <c r="F86" s="12"/>
      <c r="G86" s="12"/>
      <c r="H86" s="11"/>
      <c r="I86" s="11" t="str">
        <f>IFERROR(VLOOKUP($F86,'BuyNow Redirects'!$C$2:$J$37,5,FALSE),"")</f>
        <v/>
      </c>
      <c r="J86" s="13" t="str">
        <f>IFERROR(VLOOKUP($F86,'BuyNow Redirects'!$C$2:$J$37,6,FALSE),"")</f>
        <v/>
      </c>
      <c r="K86" s="14" t="str">
        <f>IFERROR(VLOOKUP($F86,'BuyNow Redirects'!$C$2:$J$37,7,FALSE),"")</f>
        <v/>
      </c>
      <c r="L86" s="12" t="str">
        <f>IFERROR(VLOOKUP($F86,'BuyNow Redirects'!$C$2:$J$37,8,FALSE),"")</f>
        <v/>
      </c>
      <c r="M86" s="6"/>
      <c r="N86" s="6"/>
      <c r="O86" s="6"/>
      <c r="P86" s="6"/>
      <c r="Q86" s="6"/>
      <c r="R86" s="6"/>
      <c r="S86" s="6"/>
      <c r="T86" s="6"/>
      <c r="U86" s="6"/>
      <c r="V86" s="6"/>
      <c r="W86" s="6"/>
      <c r="X86" s="6"/>
      <c r="Y86" s="6"/>
      <c r="Z86" s="6"/>
    </row>
    <row r="87" ht="21.0"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ht="21.0"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ht="21.0"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ht="21.0"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ht="21.0"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ht="21.0"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21.0"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21.0"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21.0"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21.0"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21.0"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21.0"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21.0"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21.0"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21.0"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21.0"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21.0"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21.0"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21.0"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21.0"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ht="15.75"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ht="15.75"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ht="15.75"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ht="15.75"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ht="15.75"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ht="15.75"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ht="15.75"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ht="15.75"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ht="15.75"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ht="15.75"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ht="15.75"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ht="15.75"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ht="15.75"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ht="15.75"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ht="15.75"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ht="15.75"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ht="15.75"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ht="15.75"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ht="15.75"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ht="15.75"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ht="15.75"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ht="15.75"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ht="15.75"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ht="15.75"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ht="15.75"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ht="15.75"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ht="15.75"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ht="15.75"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ht="15.75"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ht="15.75"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ht="15.75"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ht="15.75"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ht="15.75"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ht="15.75"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ht="15.75"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ht="15.75"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ht="15.75"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ht="15.75"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ht="15.75"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ht="15.75"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ht="15.75"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ht="15.75"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ht="15.75"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ht="15.75"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ht="15.75"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ht="15.75"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ht="15.75"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ht="15.75"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ht="15.75"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ht="15.75"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ht="15.75"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ht="15.75"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ht="15.75"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ht="15.75"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ht="15.75"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ht="15.75"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ht="15.75"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ht="15.75"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ht="15.75"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ht="15.75"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ht="15.75"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ht="15.75"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ht="15.75"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ht="15.75"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ht="15.75"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ht="15.75"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ht="15.75"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ht="15.75"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ht="15.75"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ht="15.75"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ht="15.75"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ht="15.75"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ht="15.75"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ht="15.75"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ht="15.75"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ht="15.75"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ht="15.75"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ht="15.75"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ht="15.75"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ht="15.75"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ht="15.75"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ht="15.75"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ht="15.75"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ht="15.75"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ht="15.75"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ht="15.75"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ht="15.75"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ht="15.75"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ht="15.75"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ht="15.75"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ht="15.75"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ht="15.75"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ht="15.75"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ht="15.75"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ht="15.75"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ht="15.75"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ht="15.75"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ht="15.75"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ht="15.75"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ht="15.75"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ht="15.75"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ht="15.75"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ht="15.75"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ht="15.75"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ht="15.75"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ht="15.75"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ht="15.75"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ht="15.75"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ht="15.75"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ht="15.75"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ht="15.75"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ht="15.75"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ht="15.75"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ht="15.75"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ht="15.75"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ht="15.75"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ht="15.75"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ht="15.75"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ht="15.75"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ht="15.75"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ht="15.75"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ht="15.75"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ht="15.75"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ht="15.75"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ht="15.75"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ht="15.75"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ht="15.75"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ht="15.75"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ht="15.75"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ht="15.75"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ht="15.75"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ht="15.75"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ht="15.75"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ht="15.75"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ht="15.75"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ht="15.75"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ht="15.75"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ht="15.75"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ht="15.75"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ht="15.75"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ht="15.75"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ht="15.75"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ht="15.75"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ht="15.75"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ht="15.75"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ht="15.75"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ht="15.75"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ht="15.75"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ht="15.75"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ht="15.75"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ht="15.75"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ht="15.75"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ht="15.75"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ht="15.75"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ht="15.75"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ht="15.75"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ht="15.75"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ht="15.75"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ht="15.75"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ht="15.75"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ht="15.75"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ht="15.75"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ht="15.75"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ht="15.75"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ht="15.75"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ht="15.75"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ht="15.75"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ht="15.75"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ht="15.75"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ht="15.75"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ht="15.75"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ht="15.75"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ht="15.75"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ht="15.75"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ht="15.75"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ht="15.75"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ht="15.75"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ht="15.75"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ht="15.75"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ht="15.75"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ht="15.75"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ht="15.75"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ht="15.75"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ht="15.75"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ht="15.75"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ht="15.75"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ht="15.75"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ht="15.75"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ht="15.75"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ht="15.75"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ht="15.75"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ht="15.75"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ht="15.75"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ht="15.75"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ht="15.75"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ht="15.75"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ht="15.75"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ht="15.75"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ht="15.75"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ht="15.75"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ht="15.75"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ht="15.75"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ht="15.75"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ht="15.75"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ht="15.75"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ht="15.75"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ht="15.75"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ht="15.75"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ht="15.75"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ht="15.75"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ht="15.75"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ht="15.75"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ht="15.75"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ht="15.75"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ht="15.75"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ht="15.75"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ht="15.75"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ht="15.75"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ht="15.75"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ht="15.75"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ht="15.75"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ht="15.75"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ht="15.75"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ht="15.75"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ht="15.75"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ht="15.75"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ht="15.75"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ht="15.75"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ht="15.75"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ht="15.75"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ht="15.75"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ht="15.75"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ht="15.75"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ht="15.75"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ht="15.75"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ht="15.75"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ht="15.75"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ht="15.75"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ht="15.75"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ht="15.75"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ht="15.75"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ht="15.75"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ht="15.75"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ht="15.75"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ht="15.75"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ht="15.75"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ht="15.75"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ht="15.75"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ht="15.75"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ht="15.75"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ht="15.75"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ht="15.75" customHeight="1">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ht="15.75" customHeight="1">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ht="15.75" customHeight="1">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ht="15.75" customHeight="1">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ht="15.75" customHeight="1">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ht="15.75" customHeight="1">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ht="15.75" customHeight="1">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ht="15.75" customHeight="1">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ht="15.75" customHeight="1">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ht="15.75" customHeight="1">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ht="15.75" customHeight="1">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ht="15.75" customHeight="1">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ht="15.75" customHeight="1">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ht="15.75" customHeight="1">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ht="15.75" customHeight="1">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ht="15.75" customHeight="1">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ht="15.75" customHeight="1">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ht="15.75" customHeight="1">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ht="15.75" customHeight="1">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ht="15.75" customHeight="1">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ht="15.75" customHeight="1">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ht="15.75" customHeight="1">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ht="15.75" customHeight="1">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ht="15.75" customHeight="1">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ht="15.75" customHeight="1">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ht="15.75" customHeight="1">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ht="15.75" customHeight="1">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ht="15.75" customHeight="1">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ht="15.75" customHeight="1">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ht="15.75" customHeight="1">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ht="15.75" customHeight="1">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ht="15.75" customHeight="1">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ht="15.75" customHeight="1">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ht="15.75" customHeight="1">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ht="15.75" customHeight="1">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ht="15.75" customHeight="1">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ht="15.75" customHeight="1">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ht="15.75" customHeight="1">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ht="15.75" customHeight="1">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ht="15.75" customHeight="1">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ht="15.75" customHeight="1">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ht="15.75" customHeight="1">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ht="15.75" customHeight="1">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ht="15.75" customHeight="1">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ht="15.75" customHeight="1">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ht="15.75" customHeight="1">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ht="15.75" customHeight="1">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ht="15.75" customHeight="1">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ht="15.75" customHeight="1">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ht="15.75" customHeight="1">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ht="15.75" customHeight="1">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ht="15.75" customHeight="1">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ht="15.75" customHeight="1">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ht="15.75" customHeight="1">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ht="15.75" customHeight="1">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ht="15.75" customHeight="1">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ht="15.75" customHeight="1">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ht="15.75" customHeight="1">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ht="15.75" customHeight="1">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ht="15.75" customHeight="1">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ht="15.75" customHeight="1">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ht="15.75" customHeight="1">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ht="15.75" customHeight="1">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ht="15.75" customHeight="1">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ht="15.75" customHeight="1">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ht="15.75" customHeight="1">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ht="15.75" customHeight="1">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ht="15.75" customHeight="1">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ht="15.75" customHeight="1">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ht="15.75" customHeight="1">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ht="15.75" customHeight="1">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ht="15.75" customHeight="1">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ht="15.75" customHeight="1">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ht="15.75" customHeight="1">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ht="15.75" customHeight="1">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ht="15.75" customHeight="1">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ht="15.75" customHeight="1">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ht="15.75" customHeight="1">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ht="15.75" customHeight="1">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ht="15.75" customHeight="1">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ht="15.75" customHeight="1">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ht="15.75" customHeight="1">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ht="15.75" customHeight="1">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ht="15.75" customHeight="1">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ht="15.75" customHeight="1">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ht="15.75" customHeight="1">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ht="15.75" customHeight="1">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ht="15.75" customHeight="1">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ht="15.75" customHeight="1">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ht="15.75" customHeight="1">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ht="15.75" customHeight="1">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ht="15.75" customHeight="1">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ht="15.75" customHeight="1">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ht="15.75" customHeight="1">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ht="15.75" customHeight="1">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ht="15.75" customHeight="1">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ht="15.75" customHeight="1">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ht="15.75" customHeight="1">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ht="15.75" customHeight="1">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ht="15.75" customHeight="1">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ht="15.75" customHeight="1">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ht="15.75" customHeight="1">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ht="15.75" customHeight="1">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ht="15.75" customHeight="1">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ht="15.75" customHeight="1">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ht="15.75" customHeight="1">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ht="15.75" customHeight="1">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ht="15.75" customHeight="1">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ht="15.75" customHeight="1">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ht="15.75" customHeight="1">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ht="15.75" customHeight="1">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ht="15.75" customHeight="1">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ht="15.75" customHeight="1">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ht="15.75" customHeight="1">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ht="15.75" customHeight="1">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ht="15.75" customHeight="1">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ht="15.75" customHeight="1">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ht="15.75" customHeight="1">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ht="15.75" customHeight="1">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ht="15.75" customHeight="1">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ht="15.75" customHeight="1">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ht="15.75" customHeight="1">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ht="15.75" customHeight="1">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ht="15.75" customHeight="1">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ht="15.75" customHeight="1">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ht="15.75" customHeight="1">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ht="15.75" customHeight="1">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ht="15.75" customHeight="1">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ht="15.75" customHeight="1">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ht="15.75" customHeight="1">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ht="15.75" customHeight="1">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ht="15.75" customHeight="1">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ht="15.75" customHeight="1">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ht="15.75" customHeight="1">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ht="15.75" customHeight="1">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ht="15.75" customHeight="1">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ht="15.75" customHeight="1">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ht="15.75" customHeight="1">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ht="15.75" customHeight="1">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ht="15.75" customHeight="1">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ht="15.75" customHeight="1">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ht="15.75" customHeight="1">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ht="15.75" customHeight="1">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ht="15.75" customHeight="1">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ht="15.75" customHeight="1">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ht="15.75" customHeight="1">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ht="15.75" customHeight="1">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ht="15.75" customHeight="1">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ht="15.75" customHeight="1">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ht="15.75" customHeight="1">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ht="15.75" customHeight="1">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ht="15.75" customHeight="1">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ht="15.75" customHeight="1">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ht="15.75" customHeight="1">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ht="15.75" customHeight="1">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ht="15.75" customHeight="1">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ht="15.75" customHeight="1">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ht="15.75" customHeight="1">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ht="15.75" customHeight="1">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ht="15.75" customHeight="1">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ht="15.75" customHeight="1">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ht="15.75" customHeight="1">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ht="15.75" customHeight="1">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ht="15.75" customHeight="1">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ht="15.75" customHeight="1">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ht="15.75" customHeight="1">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ht="15.75" customHeight="1">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ht="15.75" customHeight="1">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ht="15.75" customHeight="1">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ht="15.75" customHeight="1">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ht="15.75" customHeight="1">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ht="15.75" customHeight="1">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ht="15.75" customHeight="1">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ht="15.75" customHeight="1">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ht="15.75" customHeight="1">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ht="15.75" customHeight="1">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ht="15.75" customHeight="1">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ht="15.75" customHeight="1">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ht="15.75" customHeight="1">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ht="15.75" customHeight="1">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ht="15.75" customHeight="1">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ht="15.75" customHeight="1">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ht="15.75" customHeight="1">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ht="15.75" customHeight="1">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ht="15.75" customHeight="1">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ht="15.75" customHeight="1">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ht="15.75" customHeight="1">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ht="15.75" customHeight="1">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ht="15.75" customHeight="1">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ht="15.75" customHeight="1">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ht="15.75" customHeight="1">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ht="15.75" customHeight="1">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ht="15.75" customHeight="1">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ht="15.75" customHeight="1">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ht="15.75" customHeight="1">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ht="15.75" customHeight="1">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ht="15.75" customHeight="1">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ht="15.75" customHeight="1">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ht="15.75" customHeight="1">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ht="15.75" customHeight="1">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ht="15.75" customHeight="1">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ht="15.75" customHeight="1">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ht="15.75" customHeight="1">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ht="15.75" customHeight="1">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ht="15.75" customHeight="1">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ht="15.75" customHeight="1">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ht="15.75" customHeight="1">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ht="15.75" customHeight="1">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ht="15.75" customHeight="1">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ht="15.75" customHeight="1">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ht="15.75" customHeight="1">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ht="15.75" customHeight="1">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ht="15.75" customHeight="1">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ht="15.75" customHeight="1">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ht="15.75" customHeight="1">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ht="15.75" customHeight="1">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ht="15.75" customHeight="1">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ht="15.75" customHeight="1">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ht="15.75" customHeight="1">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ht="15.75" customHeight="1">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ht="15.75" customHeight="1">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ht="15.75" customHeight="1">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ht="15.75" customHeight="1">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ht="15.75" customHeight="1">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ht="15.75" customHeight="1">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ht="15.75" customHeight="1">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ht="15.75" customHeight="1">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ht="15.75" customHeight="1">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ht="15.75" customHeight="1">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ht="15.75" customHeight="1">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ht="15.75" customHeight="1">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ht="15.75" customHeight="1">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ht="15.75" customHeight="1">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ht="15.75" customHeight="1">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ht="15.75" customHeight="1">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ht="15.75" customHeight="1">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ht="15.75" customHeight="1">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ht="15.75" customHeight="1">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ht="15.75" customHeight="1">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ht="15.75" customHeight="1">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ht="15.75" customHeight="1">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ht="15.75" customHeight="1">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ht="15.75" customHeight="1">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ht="15.75" customHeight="1">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ht="15.75" customHeight="1">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ht="15.75" customHeight="1">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ht="15.75" customHeight="1">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ht="15.75" customHeight="1">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ht="15.75" customHeight="1">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ht="15.75" customHeight="1">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ht="15.75" customHeight="1">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ht="15.75" customHeight="1">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ht="15.75" customHeight="1">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ht="15.75" customHeight="1">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ht="15.75" customHeight="1">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ht="15.75" customHeight="1">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ht="15.75" customHeight="1">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ht="15.75" customHeight="1">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ht="15.75" customHeight="1">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ht="15.75" customHeight="1">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ht="15.75" customHeight="1">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ht="15.75" customHeight="1">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ht="15.75" customHeight="1">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ht="15.75" customHeight="1">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ht="15.75" customHeight="1">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ht="15.75" customHeight="1">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ht="15.75" customHeight="1">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ht="15.75" customHeight="1">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ht="15.75" customHeight="1">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ht="15.75" customHeight="1">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ht="15.75" customHeight="1">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ht="15.75" customHeight="1">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ht="15.75" customHeight="1">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ht="15.75" customHeight="1">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ht="15.75" customHeight="1">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ht="15.75" customHeight="1">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ht="15.75" customHeight="1">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ht="15.75" customHeight="1">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ht="15.75" customHeight="1">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ht="15.75" customHeight="1">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ht="15.75" customHeight="1">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ht="15.75" customHeight="1">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ht="15.75" customHeight="1">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ht="15.75" customHeight="1">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ht="15.75" customHeight="1">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ht="15.75" customHeight="1">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ht="15.75" customHeight="1">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ht="15.75" customHeight="1">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ht="15.75" customHeight="1">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ht="15.75" customHeight="1">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ht="15.75" customHeight="1">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ht="15.75" customHeight="1">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ht="15.75" customHeight="1">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ht="15.75" customHeight="1">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ht="15.75" customHeight="1">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ht="15.75" customHeight="1">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ht="15.75" customHeight="1">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ht="15.75" customHeight="1">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ht="15.75" customHeight="1">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ht="15.75" customHeight="1">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ht="15.75" customHeight="1">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ht="15.75" customHeight="1">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ht="15.75" customHeight="1">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ht="15.75" customHeight="1">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ht="15.75" customHeight="1">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ht="15.75" customHeight="1">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ht="15.75" customHeight="1">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ht="15.75" customHeight="1">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ht="15.75" customHeight="1">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ht="15.75" customHeight="1">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ht="15.75" customHeight="1">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ht="15.75" customHeight="1">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ht="15.75" customHeight="1">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ht="15.75" customHeight="1">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ht="15.75" customHeight="1">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ht="15.75" customHeight="1">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ht="15.75" customHeight="1">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ht="15.75" customHeight="1">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ht="15.75" customHeight="1">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ht="15.75" customHeight="1">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ht="15.75" customHeight="1">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ht="15.75" customHeight="1">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ht="15.75" customHeight="1">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ht="15.75" customHeight="1">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ht="15.75" customHeight="1">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ht="15.75" customHeight="1">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ht="15.75" customHeight="1">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ht="15.75" customHeight="1">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ht="15.75" customHeight="1">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ht="15.75" customHeight="1">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ht="15.75" customHeight="1">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ht="15.75" customHeight="1">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ht="15.75" customHeight="1">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ht="15.75" customHeight="1">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ht="15.75" customHeight="1">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ht="15.75" customHeight="1">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ht="15.75" customHeight="1">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ht="15.75" customHeight="1">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ht="15.75" customHeight="1">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ht="15.75" customHeight="1">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ht="15.75" customHeight="1">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ht="15.75" customHeight="1">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ht="15.75" customHeight="1">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ht="15.75" customHeight="1">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ht="15.75" customHeight="1">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ht="15.75" customHeight="1">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ht="15.75" customHeight="1">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ht="15.75" customHeight="1">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ht="15.75" customHeight="1">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ht="15.75" customHeight="1">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ht="15.75" customHeight="1">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ht="15.75" customHeight="1">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ht="15.75" customHeight="1">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ht="15.75" customHeight="1">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ht="15.75" customHeight="1">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ht="15.75" customHeight="1">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ht="15.75" customHeight="1">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ht="15.75" customHeight="1">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ht="15.75" customHeight="1">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ht="15.75" customHeight="1">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ht="15.75" customHeight="1">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ht="15.75" customHeight="1">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ht="15.75" customHeight="1">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ht="15.75" customHeight="1">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ht="15.75" customHeight="1">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ht="15.75" customHeight="1">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ht="15.75" customHeight="1">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ht="15.75" customHeight="1">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ht="15.75" customHeight="1">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ht="15.75" customHeight="1">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ht="15.75" customHeight="1">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ht="15.75" customHeight="1">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ht="15.75" customHeight="1">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ht="15.75" customHeight="1">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ht="15.75" customHeight="1">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ht="15.75" customHeight="1">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ht="15.75" customHeight="1">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ht="15.75" customHeight="1">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ht="15.75" customHeight="1">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ht="15.75" customHeight="1">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ht="15.75" customHeight="1">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ht="15.75" customHeight="1">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ht="15.75" customHeight="1">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ht="15.75" customHeight="1">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ht="15.75" customHeight="1">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ht="15.75" customHeight="1">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ht="15.75" customHeight="1">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ht="15.75" customHeight="1">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ht="15.75" customHeight="1">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ht="15.75" customHeight="1">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ht="15.75" customHeight="1">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ht="15.75" customHeight="1">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ht="15.75" customHeight="1">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ht="15.75" customHeight="1">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ht="15.75" customHeight="1">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ht="15.75" customHeight="1">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ht="15.75" customHeight="1">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ht="15.75" customHeight="1">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ht="15.75" customHeight="1">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ht="15.75" customHeight="1">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ht="15.75" customHeight="1">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ht="15.75" customHeight="1">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ht="15.75" customHeight="1">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ht="15.75" customHeight="1">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ht="15.75" customHeight="1">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ht="15.75" customHeight="1">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ht="15.75" customHeight="1">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ht="15.75" customHeight="1">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ht="15.75" customHeight="1">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ht="15.75" customHeight="1">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ht="15.75" customHeight="1">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ht="15.75" customHeight="1">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ht="15.75" customHeight="1">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ht="15.75" customHeight="1">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ht="15.75" customHeight="1">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ht="15.75" customHeight="1">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ht="15.75" customHeight="1">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ht="15.75" customHeight="1">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ht="15.75" customHeight="1">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ht="15.75" customHeight="1">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ht="15.75" customHeight="1">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ht="15.75" customHeight="1">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ht="15.75" customHeight="1">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ht="15.75" customHeight="1">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ht="15.75" customHeight="1">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ht="15.75" customHeight="1">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ht="15.75" customHeight="1">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ht="15.75" customHeight="1">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ht="15.75" customHeight="1">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ht="15.75" customHeight="1">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ht="15.75" customHeight="1">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ht="15.75" customHeight="1">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ht="15.75" customHeight="1">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ht="15.75" customHeight="1">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ht="15.75" customHeight="1">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ht="15.75" customHeight="1">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ht="15.75" customHeight="1">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ht="15.75" customHeight="1">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ht="15.75" customHeight="1">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ht="15.75" customHeight="1">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ht="15.75" customHeight="1">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ht="15.75" customHeight="1">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ht="15.75" customHeight="1">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ht="15.75" customHeight="1">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ht="15.75" customHeight="1">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ht="15.75" customHeight="1">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ht="15.75" customHeight="1">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ht="15.75" customHeight="1">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ht="15.75" customHeight="1">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ht="15.75" customHeight="1">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ht="15.75" customHeight="1">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ht="15.75" customHeight="1">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6.0"/>
    <col customWidth="1" min="2" max="2" width="24.0"/>
    <col customWidth="1" min="3" max="6" width="8.71"/>
  </cols>
  <sheetData>
    <row r="1">
      <c r="A1" s="26" t="s">
        <v>350</v>
      </c>
      <c r="B1" s="27"/>
      <c r="C1" s="27"/>
      <c r="D1" s="28"/>
      <c r="E1" s="3"/>
      <c r="F1" s="3"/>
      <c r="G1" s="3"/>
      <c r="H1" s="3"/>
      <c r="I1" s="3"/>
      <c r="J1" s="3"/>
      <c r="K1" s="3"/>
      <c r="L1" s="3"/>
      <c r="M1" s="3"/>
      <c r="N1" s="3"/>
      <c r="O1" s="3"/>
      <c r="P1" s="3"/>
      <c r="Q1" s="3"/>
      <c r="R1" s="3"/>
      <c r="S1" s="3"/>
      <c r="T1" s="3"/>
      <c r="U1" s="3"/>
      <c r="V1" s="3"/>
      <c r="W1" s="3"/>
      <c r="X1" s="3"/>
      <c r="Y1" s="3"/>
      <c r="Z1" s="3"/>
    </row>
    <row r="2">
      <c r="A2" s="3"/>
      <c r="B2" s="3"/>
      <c r="C2" s="3"/>
      <c r="D2" s="3"/>
      <c r="E2" s="3"/>
      <c r="F2" s="3"/>
      <c r="G2" s="3"/>
      <c r="H2" s="3"/>
      <c r="I2" s="3"/>
      <c r="J2" s="3"/>
      <c r="K2" s="3"/>
      <c r="L2" s="3"/>
      <c r="M2" s="3"/>
      <c r="N2" s="3"/>
      <c r="O2" s="3"/>
      <c r="P2" s="3"/>
      <c r="Q2" s="3"/>
      <c r="R2" s="3"/>
      <c r="S2" s="3"/>
      <c r="T2" s="3"/>
      <c r="U2" s="3"/>
      <c r="V2" s="3"/>
      <c r="W2" s="3"/>
      <c r="X2" s="3"/>
      <c r="Y2" s="3"/>
      <c r="Z2" s="3"/>
    </row>
    <row r="3">
      <c r="A3" s="29" t="s">
        <v>15</v>
      </c>
      <c r="B3" s="30" t="str">
        <f>Pages!B1</f>
        <v>https://jonathan-harris.online</v>
      </c>
      <c r="C3" s="3"/>
      <c r="D3" s="3"/>
      <c r="E3" s="3"/>
      <c r="F3" s="3"/>
      <c r="G3" s="3"/>
      <c r="H3" s="3"/>
      <c r="I3" s="3"/>
      <c r="J3" s="3"/>
      <c r="K3" s="3"/>
      <c r="L3" s="3"/>
      <c r="M3" s="3"/>
      <c r="N3" s="3"/>
      <c r="O3" s="3"/>
      <c r="P3" s="3"/>
      <c r="Q3" s="3"/>
      <c r="R3" s="3"/>
      <c r="S3" s="3"/>
      <c r="T3" s="3"/>
      <c r="U3" s="3"/>
      <c r="V3" s="3"/>
      <c r="W3" s="3"/>
      <c r="X3" s="3"/>
      <c r="Y3" s="3"/>
      <c r="Z3" s="3"/>
    </row>
    <row r="4">
      <c r="A4" s="29" t="s">
        <v>351</v>
      </c>
      <c r="B4" s="31">
        <f>COUNTA(Pages!A6:A200)</f>
        <v>81</v>
      </c>
      <c r="C4" s="3"/>
      <c r="D4" s="3"/>
      <c r="E4" s="3"/>
      <c r="F4" s="3"/>
      <c r="G4" s="3"/>
      <c r="H4" s="3"/>
      <c r="I4" s="3"/>
      <c r="J4" s="3"/>
      <c r="K4" s="3"/>
      <c r="L4" s="3"/>
      <c r="M4" s="3"/>
      <c r="N4" s="3"/>
      <c r="O4" s="3"/>
      <c r="P4" s="3"/>
      <c r="Q4" s="3"/>
      <c r="R4" s="3"/>
      <c r="S4" s="3"/>
      <c r="T4" s="3"/>
      <c r="U4" s="3"/>
      <c r="V4" s="3"/>
      <c r="W4" s="3"/>
      <c r="X4" s="3"/>
      <c r="Y4" s="3"/>
      <c r="Z4" s="3"/>
    </row>
    <row r="5">
      <c r="A5" s="29" t="s">
        <v>352</v>
      </c>
      <c r="B5" s="31">
        <f>COUNTIF(Pages!E6:E200,"Canonical ebook route")+COUNTIF(Pages!E6:E200,"Redirect detail page")</f>
        <v>36</v>
      </c>
      <c r="C5" s="3"/>
      <c r="D5" s="3"/>
      <c r="E5" s="3"/>
      <c r="F5" s="3"/>
      <c r="G5" s="3"/>
      <c r="H5" s="3"/>
      <c r="I5" s="3"/>
      <c r="J5" s="3"/>
      <c r="K5" s="3"/>
      <c r="L5" s="3"/>
      <c r="M5" s="3"/>
      <c r="N5" s="3"/>
      <c r="O5" s="3"/>
      <c r="P5" s="3"/>
      <c r="Q5" s="3"/>
      <c r="R5" s="3"/>
      <c r="S5" s="3"/>
      <c r="T5" s="3"/>
      <c r="U5" s="3"/>
      <c r="V5" s="3"/>
      <c r="W5" s="3"/>
      <c r="X5" s="3"/>
      <c r="Y5" s="3"/>
      <c r="Z5" s="3"/>
    </row>
    <row r="6">
      <c r="A6" s="29" t="s">
        <v>353</v>
      </c>
      <c r="B6" s="31">
        <f>COUNTIF(Pages!F6:F200,"&lt;&gt;")</f>
        <v>36</v>
      </c>
      <c r="C6" s="3"/>
      <c r="D6" s="3"/>
      <c r="E6" s="3"/>
      <c r="F6" s="3"/>
      <c r="G6" s="3"/>
      <c r="H6" s="3"/>
      <c r="I6" s="3"/>
      <c r="J6" s="3"/>
      <c r="K6" s="3"/>
      <c r="L6" s="3"/>
      <c r="M6" s="3"/>
      <c r="N6" s="3"/>
      <c r="O6" s="3"/>
      <c r="P6" s="3"/>
      <c r="Q6" s="3"/>
      <c r="R6" s="3"/>
      <c r="S6" s="3"/>
      <c r="T6" s="3"/>
      <c r="U6" s="3"/>
      <c r="V6" s="3"/>
      <c r="W6" s="3"/>
      <c r="X6" s="3"/>
      <c r="Y6" s="3"/>
      <c r="Z6" s="3"/>
    </row>
    <row r="7">
      <c r="A7" s="29" t="s">
        <v>354</v>
      </c>
      <c r="B7" s="31">
        <f>COUNTIF('BuyNow Redirects'!G2:G100,"&lt;&gt;")</f>
        <v>36</v>
      </c>
      <c r="C7" s="3"/>
      <c r="D7" s="3"/>
      <c r="E7" s="3"/>
      <c r="F7" s="3"/>
      <c r="G7" s="3"/>
      <c r="H7" s="3"/>
      <c r="I7" s="3"/>
      <c r="J7" s="3"/>
      <c r="K7" s="3"/>
      <c r="L7" s="3"/>
      <c r="M7" s="3"/>
      <c r="N7" s="3"/>
      <c r="O7" s="3"/>
      <c r="P7" s="3"/>
      <c r="Q7" s="3"/>
      <c r="R7" s="3"/>
      <c r="S7" s="3"/>
      <c r="T7" s="3"/>
      <c r="U7" s="3"/>
      <c r="V7" s="3"/>
      <c r="W7" s="3"/>
      <c r="X7" s="3"/>
      <c r="Y7" s="3"/>
      <c r="Z7" s="3"/>
    </row>
    <row r="8">
      <c r="A8" s="29" t="s">
        <v>355</v>
      </c>
      <c r="B8" s="31">
        <f>COUNTA('BuyNow Redirects'!A2:A100)</f>
        <v>36</v>
      </c>
      <c r="C8" s="3"/>
      <c r="D8" s="3"/>
      <c r="E8" s="3"/>
      <c r="F8" s="3"/>
      <c r="G8" s="3"/>
      <c r="H8" s="3"/>
      <c r="I8" s="3"/>
      <c r="J8" s="3"/>
      <c r="K8" s="3"/>
      <c r="L8" s="3"/>
      <c r="M8" s="3"/>
      <c r="N8" s="3"/>
      <c r="O8" s="3"/>
      <c r="P8" s="3"/>
      <c r="Q8" s="3"/>
      <c r="R8" s="3"/>
      <c r="S8" s="3"/>
      <c r="T8" s="3"/>
      <c r="U8" s="3"/>
      <c r="V8" s="3"/>
      <c r="W8" s="3"/>
      <c r="X8" s="3"/>
      <c r="Y8" s="3"/>
      <c r="Z8" s="3"/>
    </row>
    <row r="9">
      <c r="A9" s="29" t="s">
        <v>356</v>
      </c>
      <c r="B9" s="31">
        <f>COUNTIF('BuyNow Redirects'!J2:J100,"&lt;&gt;")</f>
        <v>36</v>
      </c>
      <c r="C9" s="3"/>
      <c r="D9" s="3"/>
      <c r="E9" s="3"/>
      <c r="F9" s="3"/>
      <c r="G9" s="3"/>
      <c r="H9" s="3"/>
      <c r="I9" s="3"/>
      <c r="J9" s="3"/>
      <c r="K9" s="3"/>
      <c r="L9" s="3"/>
      <c r="M9" s="3"/>
      <c r="N9" s="3"/>
      <c r="O9" s="3"/>
      <c r="P9" s="3"/>
      <c r="Q9" s="3"/>
      <c r="R9" s="3"/>
      <c r="S9" s="3"/>
      <c r="T9" s="3"/>
      <c r="U9" s="3"/>
      <c r="V9" s="3"/>
      <c r="W9" s="3"/>
      <c r="X9" s="3"/>
      <c r="Y9" s="3"/>
      <c r="Z9" s="3"/>
    </row>
    <row r="10">
      <c r="A10" s="3"/>
      <c r="B10" s="3"/>
      <c r="C10" s="3"/>
      <c r="D10" s="3"/>
      <c r="E10" s="3"/>
      <c r="F10" s="3"/>
      <c r="G10" s="3"/>
      <c r="H10" s="3"/>
      <c r="I10" s="3"/>
      <c r="J10" s="3"/>
      <c r="K10" s="3"/>
      <c r="L10" s="3"/>
      <c r="M10" s="3"/>
      <c r="N10" s="3"/>
      <c r="O10" s="3"/>
      <c r="P10" s="3"/>
      <c r="Q10" s="3"/>
      <c r="R10" s="3"/>
      <c r="S10" s="3"/>
      <c r="T10" s="3"/>
      <c r="U10" s="3"/>
      <c r="V10" s="3"/>
      <c r="W10" s="3"/>
      <c r="X10" s="3"/>
      <c r="Y10" s="3"/>
      <c r="Z10" s="3"/>
    </row>
    <row r="11">
      <c r="A11" s="3"/>
      <c r="B11" s="3"/>
      <c r="C11" s="3"/>
      <c r="D11" s="3"/>
      <c r="E11" s="3"/>
      <c r="F11" s="3"/>
      <c r="G11" s="3"/>
      <c r="H11" s="3"/>
      <c r="I11" s="3"/>
      <c r="J11" s="3"/>
      <c r="K11" s="3"/>
      <c r="L11" s="3"/>
      <c r="M11" s="3"/>
      <c r="N11" s="3"/>
      <c r="O11" s="3"/>
      <c r="P11" s="3"/>
      <c r="Q11" s="3"/>
      <c r="R11" s="3"/>
      <c r="S11" s="3"/>
      <c r="T11" s="3"/>
      <c r="U11" s="3"/>
      <c r="V11" s="3"/>
      <c r="W11" s="3"/>
      <c r="X11" s="3"/>
      <c r="Y11" s="3"/>
      <c r="Z11" s="3"/>
    </row>
    <row r="12">
      <c r="A12" s="3"/>
      <c r="B12" s="3"/>
      <c r="C12" s="3"/>
      <c r="D12" s="3"/>
      <c r="E12" s="3"/>
      <c r="F12" s="3"/>
      <c r="G12" s="3"/>
      <c r="H12" s="3"/>
      <c r="I12" s="3"/>
      <c r="J12" s="3"/>
      <c r="K12" s="3"/>
      <c r="L12" s="3"/>
      <c r="M12" s="3"/>
      <c r="N12" s="3"/>
      <c r="O12" s="3"/>
      <c r="P12" s="3"/>
      <c r="Q12" s="3"/>
      <c r="R12" s="3"/>
      <c r="S12" s="3"/>
      <c r="T12" s="3"/>
      <c r="U12" s="3"/>
      <c r="V12" s="3"/>
      <c r="W12" s="3"/>
      <c r="X12" s="3"/>
      <c r="Y12" s="3"/>
      <c r="Z12" s="3"/>
    </row>
    <row r="13">
      <c r="A13" s="3"/>
      <c r="B13" s="3"/>
      <c r="C13" s="3"/>
      <c r="D13" s="3"/>
      <c r="E13" s="3"/>
      <c r="F13" s="3"/>
      <c r="G13" s="3"/>
      <c r="H13" s="3"/>
      <c r="I13" s="3"/>
      <c r="J13" s="3"/>
      <c r="K13" s="3"/>
      <c r="L13" s="3"/>
      <c r="M13" s="3"/>
      <c r="N13" s="3"/>
      <c r="O13" s="3"/>
      <c r="P13" s="3"/>
      <c r="Q13" s="3"/>
      <c r="R13" s="3"/>
      <c r="S13" s="3"/>
      <c r="T13" s="3"/>
      <c r="U13" s="3"/>
      <c r="V13" s="3"/>
      <c r="W13" s="3"/>
      <c r="X13" s="3"/>
      <c r="Y13" s="3"/>
      <c r="Z13" s="3"/>
    </row>
    <row r="14">
      <c r="A14" s="3"/>
      <c r="B14" s="3"/>
      <c r="C14" s="3"/>
      <c r="D14" s="3"/>
      <c r="E14" s="3"/>
      <c r="F14" s="3"/>
      <c r="G14" s="3"/>
      <c r="H14" s="3"/>
      <c r="I14" s="3"/>
      <c r="J14" s="3"/>
      <c r="K14" s="3"/>
      <c r="L14" s="3"/>
      <c r="M14" s="3"/>
      <c r="N14" s="3"/>
      <c r="O14" s="3"/>
      <c r="P14" s="3"/>
      <c r="Q14" s="3"/>
      <c r="R14" s="3"/>
      <c r="S14" s="3"/>
      <c r="T14" s="3"/>
      <c r="U14" s="3"/>
      <c r="V14" s="3"/>
      <c r="W14" s="3"/>
      <c r="X14" s="3"/>
      <c r="Y14" s="3"/>
      <c r="Z14" s="3"/>
    </row>
    <row r="15">
      <c r="A15" s="3"/>
      <c r="B15" s="3"/>
      <c r="C15" s="3"/>
      <c r="D15" s="3"/>
      <c r="E15" s="3"/>
      <c r="F15" s="3"/>
      <c r="G15" s="3"/>
      <c r="H15" s="3"/>
      <c r="I15" s="3"/>
      <c r="J15" s="3"/>
      <c r="K15" s="3"/>
      <c r="L15" s="3"/>
      <c r="M15" s="3"/>
      <c r="N15" s="3"/>
      <c r="O15" s="3"/>
      <c r="P15" s="3"/>
      <c r="Q15" s="3"/>
      <c r="R15" s="3"/>
      <c r="S15" s="3"/>
      <c r="T15" s="3"/>
      <c r="U15" s="3"/>
      <c r="V15" s="3"/>
      <c r="W15" s="3"/>
      <c r="X15" s="3"/>
      <c r="Y15" s="3"/>
      <c r="Z15" s="3"/>
    </row>
    <row r="16">
      <c r="A16" s="3"/>
      <c r="B16" s="3"/>
      <c r="C16" s="3"/>
      <c r="D16" s="3"/>
      <c r="E16" s="3"/>
      <c r="F16" s="3"/>
      <c r="G16" s="3"/>
      <c r="H16" s="3"/>
      <c r="I16" s="3"/>
      <c r="J16" s="3"/>
      <c r="K16" s="3"/>
      <c r="L16" s="3"/>
      <c r="M16" s="3"/>
      <c r="N16" s="3"/>
      <c r="O16" s="3"/>
      <c r="P16" s="3"/>
      <c r="Q16" s="3"/>
      <c r="R16" s="3"/>
      <c r="S16" s="3"/>
      <c r="T16" s="3"/>
      <c r="U16" s="3"/>
      <c r="V16" s="3"/>
      <c r="W16" s="3"/>
      <c r="X16" s="3"/>
      <c r="Y16" s="3"/>
      <c r="Z16" s="3"/>
    </row>
    <row r="17">
      <c r="A17" s="3"/>
      <c r="B17" s="3"/>
      <c r="C17" s="3"/>
      <c r="D17" s="3"/>
      <c r="E17" s="3"/>
      <c r="F17" s="3"/>
      <c r="G17" s="3"/>
      <c r="H17" s="3"/>
      <c r="I17" s="3"/>
      <c r="J17" s="3"/>
      <c r="K17" s="3"/>
      <c r="L17" s="3"/>
      <c r="M17" s="3"/>
      <c r="N17" s="3"/>
      <c r="O17" s="3"/>
      <c r="P17" s="3"/>
      <c r="Q17" s="3"/>
      <c r="R17" s="3"/>
      <c r="S17" s="3"/>
      <c r="T17" s="3"/>
      <c r="U17" s="3"/>
      <c r="V17" s="3"/>
      <c r="W17" s="3"/>
      <c r="X17" s="3"/>
      <c r="Y17" s="3"/>
      <c r="Z17" s="3"/>
    </row>
    <row r="18">
      <c r="A18" s="3"/>
      <c r="B18" s="3"/>
      <c r="C18" s="3"/>
      <c r="D18" s="3"/>
      <c r="E18" s="3"/>
      <c r="F18" s="3"/>
      <c r="G18" s="3"/>
      <c r="H18" s="3"/>
      <c r="I18" s="3"/>
      <c r="J18" s="3"/>
      <c r="K18" s="3"/>
      <c r="L18" s="3"/>
      <c r="M18" s="3"/>
      <c r="N18" s="3"/>
      <c r="O18" s="3"/>
      <c r="P18" s="3"/>
      <c r="Q18" s="3"/>
      <c r="R18" s="3"/>
      <c r="S18" s="3"/>
      <c r="T18" s="3"/>
      <c r="U18" s="3"/>
      <c r="V18" s="3"/>
      <c r="W18" s="3"/>
      <c r="X18" s="3"/>
      <c r="Y18" s="3"/>
      <c r="Z18" s="3"/>
    </row>
    <row r="19">
      <c r="A19" s="3"/>
      <c r="B19" s="3"/>
      <c r="C19" s="3"/>
      <c r="D19" s="3"/>
      <c r="E19" s="3"/>
      <c r="F19" s="3"/>
      <c r="G19" s="3"/>
      <c r="H19" s="3"/>
      <c r="I19" s="3"/>
      <c r="J19" s="3"/>
      <c r="K19" s="3"/>
      <c r="L19" s="3"/>
      <c r="M19" s="3"/>
      <c r="N19" s="3"/>
      <c r="O19" s="3"/>
      <c r="P19" s="3"/>
      <c r="Q19" s="3"/>
      <c r="R19" s="3"/>
      <c r="S19" s="3"/>
      <c r="T19" s="3"/>
      <c r="U19" s="3"/>
      <c r="V19" s="3"/>
      <c r="W19" s="3"/>
      <c r="X19" s="3"/>
      <c r="Y19" s="3"/>
      <c r="Z19" s="3"/>
    </row>
    <row r="20">
      <c r="A20" s="3"/>
      <c r="B20" s="3"/>
      <c r="C20" s="3"/>
      <c r="D20" s="3"/>
      <c r="E20" s="3"/>
      <c r="F20" s="3"/>
      <c r="G20" s="3"/>
      <c r="H20" s="3"/>
      <c r="I20" s="3"/>
      <c r="J20" s="3"/>
      <c r="K20" s="3"/>
      <c r="L20" s="3"/>
      <c r="M20" s="3"/>
      <c r="N20" s="3"/>
      <c r="O20" s="3"/>
      <c r="P20" s="3"/>
      <c r="Q20" s="3"/>
      <c r="R20" s="3"/>
      <c r="S20" s="3"/>
      <c r="T20" s="3"/>
      <c r="U20" s="3"/>
      <c r="V20" s="3"/>
      <c r="W20" s="3"/>
      <c r="X20" s="3"/>
      <c r="Y20" s="3"/>
      <c r="Z20" s="3"/>
    </row>
    <row r="21"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1">
    <mergeCell ref="A1:D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6.0"/>
    <col customWidth="1" min="2" max="3" width="58.0"/>
    <col customWidth="1" min="4" max="4" width="24.0"/>
    <col customWidth="1" min="5" max="5" width="58.0"/>
    <col customWidth="1" min="6" max="6" width="48.0"/>
    <col customWidth="1" min="7" max="7" width="16.0"/>
    <col customWidth="1" min="8" max="8" width="10.0"/>
    <col customWidth="1" min="9" max="9" width="16.0"/>
    <col customWidth="1" min="10" max="10" width="58.0"/>
  </cols>
  <sheetData>
    <row r="1">
      <c r="A1" s="32" t="s">
        <v>357</v>
      </c>
      <c r="B1" s="32" t="s">
        <v>358</v>
      </c>
      <c r="C1" s="32" t="s">
        <v>26</v>
      </c>
      <c r="D1" s="32" t="s">
        <v>27</v>
      </c>
      <c r="E1" s="32" t="s">
        <v>359</v>
      </c>
      <c r="F1" s="32" t="s">
        <v>28</v>
      </c>
      <c r="G1" s="32" t="s">
        <v>29</v>
      </c>
      <c r="H1" s="32" t="s">
        <v>30</v>
      </c>
      <c r="I1" s="32" t="s">
        <v>31</v>
      </c>
      <c r="J1" s="32" t="s">
        <v>32</v>
      </c>
      <c r="K1" s="3"/>
      <c r="L1" s="3"/>
      <c r="M1" s="3"/>
      <c r="N1" s="3"/>
      <c r="O1" s="3"/>
      <c r="P1" s="3"/>
      <c r="Q1" s="3"/>
      <c r="R1" s="3"/>
      <c r="S1" s="3"/>
      <c r="T1" s="3"/>
      <c r="U1" s="3"/>
      <c r="V1" s="3"/>
      <c r="W1" s="3"/>
      <c r="X1" s="3"/>
      <c r="Y1" s="3"/>
      <c r="Z1" s="3"/>
    </row>
    <row r="2">
      <c r="A2" s="33" t="s">
        <v>360</v>
      </c>
      <c r="B2" s="34" t="s">
        <v>361</v>
      </c>
      <c r="C2" s="34" t="s">
        <v>149</v>
      </c>
      <c r="D2" s="34" t="s">
        <v>150</v>
      </c>
      <c r="E2" s="34" t="s">
        <v>362</v>
      </c>
      <c r="F2" s="33"/>
      <c r="G2" s="33" t="s">
        <v>363</v>
      </c>
      <c r="H2" s="35">
        <v>227.0</v>
      </c>
      <c r="I2" s="36">
        <v>45640.0</v>
      </c>
      <c r="J2" s="34" t="s">
        <v>364</v>
      </c>
      <c r="K2" s="3"/>
      <c r="L2" s="3"/>
      <c r="M2" s="3"/>
      <c r="N2" s="3"/>
      <c r="O2" s="3"/>
      <c r="P2" s="3"/>
      <c r="Q2" s="3"/>
      <c r="R2" s="3"/>
      <c r="S2" s="3"/>
      <c r="T2" s="3"/>
      <c r="U2" s="3"/>
      <c r="V2" s="3"/>
      <c r="W2" s="3"/>
      <c r="X2" s="3"/>
      <c r="Y2" s="3"/>
      <c r="Z2" s="3"/>
    </row>
    <row r="3">
      <c r="A3" s="33" t="s">
        <v>365</v>
      </c>
      <c r="B3" s="34" t="s">
        <v>366</v>
      </c>
      <c r="C3" s="34" t="s">
        <v>154</v>
      </c>
      <c r="D3" s="34" t="s">
        <v>155</v>
      </c>
      <c r="E3" s="34" t="s">
        <v>367</v>
      </c>
      <c r="F3" s="33"/>
      <c r="G3" s="33" t="s">
        <v>368</v>
      </c>
      <c r="H3" s="35">
        <v>330.0</v>
      </c>
      <c r="I3" s="36">
        <v>45606.0</v>
      </c>
      <c r="J3" s="34" t="s">
        <v>369</v>
      </c>
      <c r="K3" s="3"/>
      <c r="L3" s="3"/>
      <c r="M3" s="3"/>
      <c r="N3" s="3"/>
      <c r="O3" s="3"/>
      <c r="P3" s="3"/>
      <c r="Q3" s="3"/>
      <c r="R3" s="3"/>
      <c r="S3" s="3"/>
      <c r="T3" s="3"/>
      <c r="U3" s="3"/>
      <c r="V3" s="3"/>
      <c r="W3" s="3"/>
      <c r="X3" s="3"/>
      <c r="Y3" s="3"/>
      <c r="Z3" s="3"/>
    </row>
    <row r="4">
      <c r="A4" s="33" t="s">
        <v>370</v>
      </c>
      <c r="B4" s="34" t="s">
        <v>371</v>
      </c>
      <c r="C4" s="34" t="s">
        <v>159</v>
      </c>
      <c r="D4" s="34" t="s">
        <v>160</v>
      </c>
      <c r="E4" s="34" t="s">
        <v>372</v>
      </c>
      <c r="F4" s="33"/>
      <c r="G4" s="33" t="s">
        <v>373</v>
      </c>
      <c r="H4" s="35">
        <v>284.0</v>
      </c>
      <c r="I4" s="36">
        <v>45605.0</v>
      </c>
      <c r="J4" s="34" t="s">
        <v>374</v>
      </c>
      <c r="K4" s="3"/>
      <c r="L4" s="3"/>
      <c r="M4" s="3"/>
      <c r="N4" s="3"/>
      <c r="O4" s="3"/>
      <c r="P4" s="3"/>
      <c r="Q4" s="3"/>
      <c r="R4" s="3"/>
      <c r="S4" s="3"/>
      <c r="T4" s="3"/>
      <c r="U4" s="3"/>
      <c r="V4" s="3"/>
      <c r="W4" s="3"/>
      <c r="X4" s="3"/>
      <c r="Y4" s="3"/>
      <c r="Z4" s="3"/>
    </row>
    <row r="5">
      <c r="A5" s="33" t="s">
        <v>375</v>
      </c>
      <c r="B5" s="34" t="s">
        <v>376</v>
      </c>
      <c r="C5" s="34" t="s">
        <v>164</v>
      </c>
      <c r="D5" s="34" t="s">
        <v>165</v>
      </c>
      <c r="E5" s="34" t="s">
        <v>377</v>
      </c>
      <c r="F5" s="33"/>
      <c r="G5" s="33" t="s">
        <v>378</v>
      </c>
      <c r="H5" s="35">
        <v>323.0</v>
      </c>
      <c r="I5" s="36">
        <v>45605.0</v>
      </c>
      <c r="J5" s="34" t="s">
        <v>379</v>
      </c>
      <c r="K5" s="3"/>
      <c r="L5" s="3"/>
      <c r="M5" s="3"/>
      <c r="N5" s="3"/>
      <c r="O5" s="3"/>
      <c r="P5" s="3"/>
      <c r="Q5" s="3"/>
      <c r="R5" s="3"/>
      <c r="S5" s="3"/>
      <c r="T5" s="3"/>
      <c r="U5" s="3"/>
      <c r="V5" s="3"/>
      <c r="W5" s="3"/>
      <c r="X5" s="3"/>
      <c r="Y5" s="3"/>
      <c r="Z5" s="3"/>
    </row>
    <row r="6">
      <c r="A6" s="33" t="s">
        <v>380</v>
      </c>
      <c r="B6" s="34" t="s">
        <v>381</v>
      </c>
      <c r="C6" s="34" t="s">
        <v>169</v>
      </c>
      <c r="D6" s="34" t="s">
        <v>170</v>
      </c>
      <c r="E6" s="34" t="s">
        <v>382</v>
      </c>
      <c r="F6" s="33"/>
      <c r="G6" s="33" t="s">
        <v>383</v>
      </c>
      <c r="H6" s="35">
        <v>312.0</v>
      </c>
      <c r="I6" s="36">
        <v>45606.0</v>
      </c>
      <c r="J6" s="34" t="s">
        <v>384</v>
      </c>
      <c r="K6" s="3"/>
      <c r="L6" s="3"/>
      <c r="M6" s="3"/>
      <c r="N6" s="3"/>
      <c r="O6" s="3"/>
      <c r="P6" s="3"/>
      <c r="Q6" s="3"/>
      <c r="R6" s="3"/>
      <c r="S6" s="3"/>
      <c r="T6" s="3"/>
      <c r="U6" s="3"/>
      <c r="V6" s="3"/>
      <c r="W6" s="3"/>
      <c r="X6" s="3"/>
      <c r="Y6" s="3"/>
      <c r="Z6" s="3"/>
    </row>
    <row r="7">
      <c r="A7" s="33" t="s">
        <v>385</v>
      </c>
      <c r="B7" s="34" t="s">
        <v>386</v>
      </c>
      <c r="C7" s="34" t="s">
        <v>174</v>
      </c>
      <c r="D7" s="34" t="s">
        <v>175</v>
      </c>
      <c r="E7" s="34" t="s">
        <v>387</v>
      </c>
      <c r="F7" s="33"/>
      <c r="G7" s="33" t="s">
        <v>388</v>
      </c>
      <c r="H7" s="35">
        <v>338.0</v>
      </c>
      <c r="I7" s="36">
        <v>45604.0</v>
      </c>
      <c r="J7" s="34" t="s">
        <v>389</v>
      </c>
      <c r="K7" s="3"/>
      <c r="L7" s="3"/>
      <c r="M7" s="3"/>
      <c r="N7" s="3"/>
      <c r="O7" s="3"/>
      <c r="P7" s="3"/>
      <c r="Q7" s="3"/>
      <c r="R7" s="3"/>
      <c r="S7" s="3"/>
      <c r="T7" s="3"/>
      <c r="U7" s="3"/>
      <c r="V7" s="3"/>
      <c r="W7" s="3"/>
      <c r="X7" s="3"/>
      <c r="Y7" s="3"/>
      <c r="Z7" s="3"/>
    </row>
    <row r="8">
      <c r="A8" s="33" t="s">
        <v>390</v>
      </c>
      <c r="B8" s="34" t="s">
        <v>391</v>
      </c>
      <c r="C8" s="34" t="s">
        <v>179</v>
      </c>
      <c r="D8" s="34" t="s">
        <v>180</v>
      </c>
      <c r="E8" s="34" t="s">
        <v>392</v>
      </c>
      <c r="F8" s="33"/>
      <c r="G8" s="33" t="s">
        <v>393</v>
      </c>
      <c r="H8" s="35">
        <v>254.0</v>
      </c>
      <c r="I8" s="36">
        <v>45696.0</v>
      </c>
      <c r="J8" s="34" t="s">
        <v>394</v>
      </c>
      <c r="K8" s="3"/>
      <c r="L8" s="3"/>
      <c r="M8" s="3"/>
      <c r="N8" s="3"/>
      <c r="O8" s="3"/>
      <c r="P8" s="3"/>
      <c r="Q8" s="3"/>
      <c r="R8" s="3"/>
      <c r="S8" s="3"/>
      <c r="T8" s="3"/>
      <c r="U8" s="3"/>
      <c r="V8" s="3"/>
      <c r="W8" s="3"/>
      <c r="X8" s="3"/>
      <c r="Y8" s="3"/>
      <c r="Z8" s="3"/>
    </row>
    <row r="9">
      <c r="A9" s="33" t="s">
        <v>395</v>
      </c>
      <c r="B9" s="34" t="s">
        <v>396</v>
      </c>
      <c r="C9" s="34" t="s">
        <v>184</v>
      </c>
      <c r="D9" s="34" t="s">
        <v>185</v>
      </c>
      <c r="E9" s="34" t="s">
        <v>397</v>
      </c>
      <c r="F9" s="33"/>
      <c r="G9" s="33" t="s">
        <v>398</v>
      </c>
      <c r="H9" s="35">
        <v>224.0</v>
      </c>
      <c r="I9" s="36">
        <v>45640.0</v>
      </c>
      <c r="J9" s="34" t="s">
        <v>399</v>
      </c>
      <c r="K9" s="3"/>
      <c r="L9" s="3"/>
      <c r="M9" s="3"/>
      <c r="N9" s="3"/>
      <c r="O9" s="3"/>
      <c r="P9" s="3"/>
      <c r="Q9" s="3"/>
      <c r="R9" s="3"/>
      <c r="S9" s="3"/>
      <c r="T9" s="3"/>
      <c r="U9" s="3"/>
      <c r="V9" s="3"/>
      <c r="W9" s="3"/>
      <c r="X9" s="3"/>
      <c r="Y9" s="3"/>
      <c r="Z9" s="3"/>
    </row>
    <row r="10">
      <c r="A10" s="33" t="s">
        <v>400</v>
      </c>
      <c r="B10" s="34" t="s">
        <v>401</v>
      </c>
      <c r="C10" s="34" t="s">
        <v>189</v>
      </c>
      <c r="D10" s="34" t="s">
        <v>190</v>
      </c>
      <c r="E10" s="34" t="s">
        <v>402</v>
      </c>
      <c r="F10" s="33"/>
      <c r="G10" s="33" t="s">
        <v>403</v>
      </c>
      <c r="H10" s="35">
        <v>269.0</v>
      </c>
      <c r="I10" s="36">
        <v>45610.0</v>
      </c>
      <c r="J10" s="34" t="s">
        <v>404</v>
      </c>
      <c r="K10" s="3"/>
      <c r="L10" s="3"/>
      <c r="M10" s="3"/>
      <c r="N10" s="3"/>
      <c r="O10" s="3"/>
      <c r="P10" s="3"/>
      <c r="Q10" s="3"/>
      <c r="R10" s="3"/>
      <c r="S10" s="3"/>
      <c r="T10" s="3"/>
      <c r="U10" s="3"/>
      <c r="V10" s="3"/>
      <c r="W10" s="3"/>
      <c r="X10" s="3"/>
      <c r="Y10" s="3"/>
      <c r="Z10" s="3"/>
    </row>
    <row r="11">
      <c r="A11" s="33" t="s">
        <v>405</v>
      </c>
      <c r="B11" s="34" t="s">
        <v>406</v>
      </c>
      <c r="C11" s="34" t="s">
        <v>194</v>
      </c>
      <c r="D11" s="37" t="s">
        <v>195</v>
      </c>
      <c r="E11" s="34" t="s">
        <v>407</v>
      </c>
      <c r="F11" s="33"/>
      <c r="G11" s="33" t="s">
        <v>408</v>
      </c>
      <c r="H11" s="35">
        <v>221.0</v>
      </c>
      <c r="I11" s="36">
        <v>45641.0</v>
      </c>
      <c r="J11" s="34" t="s">
        <v>409</v>
      </c>
      <c r="K11" s="3"/>
      <c r="L11" s="3"/>
      <c r="M11" s="3"/>
      <c r="N11" s="3"/>
      <c r="O11" s="3"/>
      <c r="P11" s="3"/>
      <c r="Q11" s="3"/>
      <c r="R11" s="3"/>
      <c r="S11" s="3"/>
      <c r="T11" s="3"/>
      <c r="U11" s="3"/>
      <c r="V11" s="3"/>
      <c r="W11" s="3"/>
      <c r="X11" s="3"/>
      <c r="Y11" s="3"/>
      <c r="Z11" s="3"/>
    </row>
    <row r="12">
      <c r="A12" s="33" t="s">
        <v>410</v>
      </c>
      <c r="B12" s="34" t="s">
        <v>411</v>
      </c>
      <c r="C12" s="34" t="s">
        <v>199</v>
      </c>
      <c r="D12" s="34" t="s">
        <v>200</v>
      </c>
      <c r="E12" s="34" t="s">
        <v>412</v>
      </c>
      <c r="F12" s="33"/>
      <c r="G12" s="33" t="s">
        <v>413</v>
      </c>
      <c r="H12" s="35">
        <v>286.0</v>
      </c>
      <c r="I12" s="36">
        <v>45605.0</v>
      </c>
      <c r="J12" s="34" t="s">
        <v>414</v>
      </c>
      <c r="K12" s="3"/>
      <c r="L12" s="3"/>
      <c r="M12" s="3"/>
      <c r="N12" s="3"/>
      <c r="O12" s="3"/>
      <c r="P12" s="3"/>
      <c r="Q12" s="3"/>
      <c r="R12" s="3"/>
      <c r="S12" s="3"/>
      <c r="T12" s="3"/>
      <c r="U12" s="3"/>
      <c r="V12" s="3"/>
      <c r="W12" s="3"/>
      <c r="X12" s="3"/>
      <c r="Y12" s="3"/>
      <c r="Z12" s="3"/>
    </row>
    <row r="13">
      <c r="A13" s="33" t="s">
        <v>415</v>
      </c>
      <c r="B13" s="34" t="s">
        <v>416</v>
      </c>
      <c r="C13" s="34" t="s">
        <v>204</v>
      </c>
      <c r="D13" s="34" t="s">
        <v>205</v>
      </c>
      <c r="E13" s="34" t="s">
        <v>417</v>
      </c>
      <c r="F13" s="33"/>
      <c r="G13" s="33" t="s">
        <v>418</v>
      </c>
      <c r="H13" s="35">
        <v>319.0</v>
      </c>
      <c r="I13" s="36">
        <v>45607.0</v>
      </c>
      <c r="J13" s="34" t="s">
        <v>419</v>
      </c>
      <c r="K13" s="3"/>
      <c r="L13" s="3"/>
      <c r="M13" s="3"/>
      <c r="N13" s="3"/>
      <c r="O13" s="3"/>
      <c r="P13" s="3"/>
      <c r="Q13" s="3"/>
      <c r="R13" s="3"/>
      <c r="S13" s="3"/>
      <c r="T13" s="3"/>
      <c r="U13" s="3"/>
      <c r="V13" s="3"/>
      <c r="W13" s="3"/>
      <c r="X13" s="3"/>
      <c r="Y13" s="3"/>
      <c r="Z13" s="3"/>
    </row>
    <row r="14">
      <c r="A14" s="33" t="s">
        <v>420</v>
      </c>
      <c r="B14" s="34" t="s">
        <v>421</v>
      </c>
      <c r="C14" s="34" t="s">
        <v>209</v>
      </c>
      <c r="D14" s="34" t="s">
        <v>210</v>
      </c>
      <c r="E14" s="34" t="s">
        <v>422</v>
      </c>
      <c r="F14" s="33"/>
      <c r="G14" s="33" t="s">
        <v>423</v>
      </c>
      <c r="H14" s="35">
        <v>347.0</v>
      </c>
      <c r="I14" s="36">
        <v>45608.0</v>
      </c>
      <c r="J14" s="34" t="s">
        <v>424</v>
      </c>
      <c r="K14" s="3"/>
      <c r="L14" s="3"/>
      <c r="M14" s="3"/>
      <c r="N14" s="3"/>
      <c r="O14" s="3"/>
      <c r="P14" s="3"/>
      <c r="Q14" s="3"/>
      <c r="R14" s="3"/>
      <c r="S14" s="3"/>
      <c r="T14" s="3"/>
      <c r="U14" s="3"/>
      <c r="V14" s="3"/>
      <c r="W14" s="3"/>
      <c r="X14" s="3"/>
      <c r="Y14" s="3"/>
      <c r="Z14" s="3"/>
    </row>
    <row r="15">
      <c r="A15" s="33" t="s">
        <v>425</v>
      </c>
      <c r="B15" s="34" t="s">
        <v>426</v>
      </c>
      <c r="C15" s="34" t="s">
        <v>214</v>
      </c>
      <c r="D15" s="34" t="s">
        <v>215</v>
      </c>
      <c r="E15" s="34" t="s">
        <v>427</v>
      </c>
      <c r="F15" s="33"/>
      <c r="G15" s="33" t="s">
        <v>428</v>
      </c>
      <c r="H15" s="35">
        <v>339.0</v>
      </c>
      <c r="I15" s="36">
        <v>45607.0</v>
      </c>
      <c r="J15" s="34" t="s">
        <v>429</v>
      </c>
      <c r="K15" s="3"/>
      <c r="L15" s="3"/>
      <c r="M15" s="3"/>
      <c r="N15" s="3"/>
      <c r="O15" s="3"/>
      <c r="P15" s="3"/>
      <c r="Q15" s="3"/>
      <c r="R15" s="3"/>
      <c r="S15" s="3"/>
      <c r="T15" s="3"/>
      <c r="U15" s="3"/>
      <c r="V15" s="3"/>
      <c r="W15" s="3"/>
      <c r="X15" s="3"/>
      <c r="Y15" s="3"/>
      <c r="Z15" s="3"/>
    </row>
    <row r="16">
      <c r="A16" s="33" t="s">
        <v>430</v>
      </c>
      <c r="B16" s="34" t="s">
        <v>431</v>
      </c>
      <c r="C16" s="34" t="s">
        <v>219</v>
      </c>
      <c r="D16" s="34" t="s">
        <v>220</v>
      </c>
      <c r="E16" s="34" t="s">
        <v>432</v>
      </c>
      <c r="F16" s="33"/>
      <c r="G16" s="33" t="s">
        <v>433</v>
      </c>
      <c r="H16" s="35">
        <v>328.0</v>
      </c>
      <c r="I16" s="36">
        <v>45610.0</v>
      </c>
      <c r="J16" s="34" t="s">
        <v>434</v>
      </c>
      <c r="K16" s="3"/>
      <c r="L16" s="3"/>
      <c r="M16" s="3"/>
      <c r="N16" s="3"/>
      <c r="O16" s="3"/>
      <c r="P16" s="3"/>
      <c r="Q16" s="3"/>
      <c r="R16" s="3"/>
      <c r="S16" s="3"/>
      <c r="T16" s="3"/>
      <c r="U16" s="3"/>
      <c r="V16" s="3"/>
      <c r="W16" s="3"/>
      <c r="X16" s="3"/>
      <c r="Y16" s="3"/>
      <c r="Z16" s="3"/>
    </row>
    <row r="17">
      <c r="A17" s="33" t="s">
        <v>435</v>
      </c>
      <c r="B17" s="34" t="s">
        <v>436</v>
      </c>
      <c r="C17" s="34" t="s">
        <v>224</v>
      </c>
      <c r="D17" s="34" t="s">
        <v>225</v>
      </c>
      <c r="E17" s="34" t="s">
        <v>437</v>
      </c>
      <c r="F17" s="33"/>
      <c r="G17" s="33" t="s">
        <v>438</v>
      </c>
      <c r="H17" s="35">
        <v>229.0</v>
      </c>
      <c r="I17" s="36">
        <v>45638.0</v>
      </c>
      <c r="J17" s="34" t="s">
        <v>439</v>
      </c>
      <c r="K17" s="3"/>
      <c r="L17" s="3"/>
      <c r="M17" s="3"/>
      <c r="N17" s="3"/>
      <c r="O17" s="3"/>
      <c r="P17" s="3"/>
      <c r="Q17" s="3"/>
      <c r="R17" s="3"/>
      <c r="S17" s="3"/>
      <c r="T17" s="3"/>
      <c r="U17" s="3"/>
      <c r="V17" s="3"/>
      <c r="W17" s="3"/>
      <c r="X17" s="3"/>
      <c r="Y17" s="3"/>
      <c r="Z17" s="3"/>
    </row>
    <row r="18">
      <c r="A18" s="33" t="s">
        <v>440</v>
      </c>
      <c r="B18" s="34" t="s">
        <v>441</v>
      </c>
      <c r="C18" s="34" t="s">
        <v>229</v>
      </c>
      <c r="D18" s="34" t="s">
        <v>230</v>
      </c>
      <c r="E18" s="34" t="s">
        <v>442</v>
      </c>
      <c r="F18" s="33"/>
      <c r="G18" s="33" t="s">
        <v>443</v>
      </c>
      <c r="H18" s="35">
        <v>205.0</v>
      </c>
      <c r="I18" s="36">
        <v>45641.0</v>
      </c>
      <c r="J18" s="34" t="s">
        <v>444</v>
      </c>
      <c r="K18" s="3"/>
      <c r="L18" s="3"/>
      <c r="M18" s="3"/>
      <c r="N18" s="3"/>
      <c r="O18" s="3"/>
      <c r="P18" s="3"/>
      <c r="Q18" s="3"/>
      <c r="R18" s="3"/>
      <c r="S18" s="3"/>
      <c r="T18" s="3"/>
      <c r="U18" s="3"/>
      <c r="V18" s="3"/>
      <c r="W18" s="3"/>
      <c r="X18" s="3"/>
      <c r="Y18" s="3"/>
      <c r="Z18" s="3"/>
    </row>
    <row r="19">
      <c r="A19" s="33" t="s">
        <v>445</v>
      </c>
      <c r="B19" s="34" t="s">
        <v>446</v>
      </c>
      <c r="C19" s="34" t="s">
        <v>234</v>
      </c>
      <c r="D19" s="34" t="s">
        <v>235</v>
      </c>
      <c r="E19" s="34" t="s">
        <v>447</v>
      </c>
      <c r="F19" s="33"/>
      <c r="G19" s="33" t="s">
        <v>448</v>
      </c>
      <c r="H19" s="35">
        <v>234.0</v>
      </c>
      <c r="I19" s="36">
        <v>45609.0</v>
      </c>
      <c r="J19" s="34" t="s">
        <v>449</v>
      </c>
      <c r="K19" s="3"/>
      <c r="L19" s="3"/>
      <c r="M19" s="3"/>
      <c r="N19" s="3"/>
      <c r="O19" s="3"/>
      <c r="P19" s="3"/>
      <c r="Q19" s="3"/>
      <c r="R19" s="3"/>
      <c r="S19" s="3"/>
      <c r="T19" s="3"/>
      <c r="U19" s="3"/>
      <c r="V19" s="3"/>
      <c r="W19" s="3"/>
      <c r="X19" s="3"/>
      <c r="Y19" s="3"/>
      <c r="Z19" s="3"/>
    </row>
    <row r="20">
      <c r="A20" s="33" t="s">
        <v>450</v>
      </c>
      <c r="B20" s="34" t="s">
        <v>451</v>
      </c>
      <c r="C20" s="34" t="s">
        <v>239</v>
      </c>
      <c r="D20" s="34" t="s">
        <v>240</v>
      </c>
      <c r="E20" s="34" t="s">
        <v>452</v>
      </c>
      <c r="F20" s="33"/>
      <c r="G20" s="33" t="s">
        <v>453</v>
      </c>
      <c r="H20" s="35">
        <v>369.0</v>
      </c>
      <c r="I20" s="36">
        <v>45608.0</v>
      </c>
      <c r="J20" s="34" t="s">
        <v>454</v>
      </c>
      <c r="K20" s="3"/>
      <c r="L20" s="3"/>
      <c r="M20" s="3"/>
      <c r="N20" s="3"/>
      <c r="O20" s="3"/>
      <c r="P20" s="3"/>
      <c r="Q20" s="3"/>
      <c r="R20" s="3"/>
      <c r="S20" s="3"/>
      <c r="T20" s="3"/>
      <c r="U20" s="3"/>
      <c r="V20" s="3"/>
      <c r="W20" s="3"/>
      <c r="X20" s="3"/>
      <c r="Y20" s="3"/>
      <c r="Z20" s="3"/>
    </row>
    <row r="21" ht="15.75" customHeight="1">
      <c r="A21" s="33" t="s">
        <v>455</v>
      </c>
      <c r="B21" s="34" t="s">
        <v>456</v>
      </c>
      <c r="C21" s="34" t="s">
        <v>244</v>
      </c>
      <c r="D21" s="34" t="s">
        <v>245</v>
      </c>
      <c r="E21" s="34" t="s">
        <v>457</v>
      </c>
      <c r="F21" s="33"/>
      <c r="G21" s="33" t="s">
        <v>458</v>
      </c>
      <c r="H21" s="35">
        <v>350.0</v>
      </c>
      <c r="I21" s="36">
        <v>45709.0</v>
      </c>
      <c r="J21" s="34" t="s">
        <v>459</v>
      </c>
      <c r="K21" s="3"/>
      <c r="L21" s="3"/>
      <c r="M21" s="3"/>
      <c r="N21" s="3"/>
      <c r="O21" s="3"/>
      <c r="P21" s="3"/>
      <c r="Q21" s="3"/>
      <c r="R21" s="3"/>
      <c r="S21" s="3"/>
      <c r="T21" s="3"/>
      <c r="U21" s="3"/>
      <c r="V21" s="3"/>
      <c r="W21" s="3"/>
      <c r="X21" s="3"/>
      <c r="Y21" s="3"/>
      <c r="Z21" s="3"/>
    </row>
    <row r="22" ht="15.75" customHeight="1">
      <c r="A22" s="33" t="s">
        <v>460</v>
      </c>
      <c r="B22" s="34" t="s">
        <v>461</v>
      </c>
      <c r="C22" s="34" t="s">
        <v>249</v>
      </c>
      <c r="D22" s="34" t="s">
        <v>250</v>
      </c>
      <c r="E22" s="34" t="s">
        <v>462</v>
      </c>
      <c r="F22" s="33"/>
      <c r="G22" s="33" t="s">
        <v>463</v>
      </c>
      <c r="H22" s="35">
        <v>338.0</v>
      </c>
      <c r="I22" s="36">
        <v>45602.0</v>
      </c>
      <c r="J22" s="34" t="s">
        <v>464</v>
      </c>
      <c r="K22" s="3"/>
      <c r="L22" s="3"/>
      <c r="M22" s="3"/>
      <c r="N22" s="3"/>
      <c r="O22" s="3"/>
      <c r="P22" s="3"/>
      <c r="Q22" s="3"/>
      <c r="R22" s="3"/>
      <c r="S22" s="3"/>
      <c r="T22" s="3"/>
      <c r="U22" s="3"/>
      <c r="V22" s="3"/>
      <c r="W22" s="3"/>
      <c r="X22" s="3"/>
      <c r="Y22" s="3"/>
      <c r="Z22" s="3"/>
    </row>
    <row r="23" ht="15.75" customHeight="1">
      <c r="A23" s="33" t="s">
        <v>465</v>
      </c>
      <c r="B23" s="34" t="s">
        <v>466</v>
      </c>
      <c r="C23" s="34" t="s">
        <v>254</v>
      </c>
      <c r="D23" s="34" t="s">
        <v>255</v>
      </c>
      <c r="E23" s="34" t="s">
        <v>467</v>
      </c>
      <c r="F23" s="33"/>
      <c r="G23" s="33" t="s">
        <v>468</v>
      </c>
      <c r="H23" s="35">
        <v>296.0</v>
      </c>
      <c r="I23" s="36">
        <v>45602.0</v>
      </c>
      <c r="J23" s="34" t="s">
        <v>469</v>
      </c>
      <c r="K23" s="3"/>
      <c r="L23" s="3"/>
      <c r="M23" s="3"/>
      <c r="N23" s="3"/>
      <c r="O23" s="3"/>
      <c r="P23" s="3"/>
      <c r="Q23" s="3"/>
      <c r="R23" s="3"/>
      <c r="S23" s="3"/>
      <c r="T23" s="3"/>
      <c r="U23" s="3"/>
      <c r="V23" s="3"/>
      <c r="W23" s="3"/>
      <c r="X23" s="3"/>
      <c r="Y23" s="3"/>
      <c r="Z23" s="3"/>
    </row>
    <row r="24" ht="15.75" customHeight="1">
      <c r="A24" s="33" t="s">
        <v>470</v>
      </c>
      <c r="B24" s="34" t="s">
        <v>471</v>
      </c>
      <c r="C24" s="34" t="s">
        <v>259</v>
      </c>
      <c r="D24" s="34" t="s">
        <v>260</v>
      </c>
      <c r="E24" s="34" t="s">
        <v>472</v>
      </c>
      <c r="F24" s="33"/>
      <c r="G24" s="33" t="s">
        <v>473</v>
      </c>
      <c r="H24" s="35">
        <v>348.0</v>
      </c>
      <c r="I24" s="36">
        <v>45602.0</v>
      </c>
      <c r="J24" s="34" t="s">
        <v>474</v>
      </c>
      <c r="K24" s="3"/>
      <c r="L24" s="3"/>
      <c r="M24" s="3"/>
      <c r="N24" s="3"/>
      <c r="O24" s="3"/>
      <c r="P24" s="3"/>
      <c r="Q24" s="3"/>
      <c r="R24" s="3"/>
      <c r="S24" s="3"/>
      <c r="T24" s="3"/>
      <c r="U24" s="3"/>
      <c r="V24" s="3"/>
      <c r="W24" s="3"/>
      <c r="X24" s="3"/>
      <c r="Y24" s="3"/>
      <c r="Z24" s="3"/>
    </row>
    <row r="25" ht="15.75" customHeight="1">
      <c r="A25" s="33" t="s">
        <v>475</v>
      </c>
      <c r="B25" s="34" t="s">
        <v>476</v>
      </c>
      <c r="C25" s="34" t="s">
        <v>264</v>
      </c>
      <c r="D25" s="34" t="s">
        <v>265</v>
      </c>
      <c r="E25" s="34" t="s">
        <v>477</v>
      </c>
      <c r="F25" s="33"/>
      <c r="G25" s="33" t="s">
        <v>478</v>
      </c>
      <c r="H25" s="35">
        <v>334.0</v>
      </c>
      <c r="I25" s="36">
        <v>45709.0</v>
      </c>
      <c r="J25" s="34" t="s">
        <v>479</v>
      </c>
      <c r="K25" s="3"/>
      <c r="L25" s="3"/>
      <c r="M25" s="3"/>
      <c r="N25" s="3"/>
      <c r="O25" s="3"/>
      <c r="P25" s="3"/>
      <c r="Q25" s="3"/>
      <c r="R25" s="3"/>
      <c r="S25" s="3"/>
      <c r="T25" s="3"/>
      <c r="U25" s="3"/>
      <c r="V25" s="3"/>
      <c r="W25" s="3"/>
      <c r="X25" s="3"/>
      <c r="Y25" s="3"/>
      <c r="Z25" s="3"/>
    </row>
    <row r="26" ht="15.75" customHeight="1">
      <c r="A26" s="33" t="s">
        <v>480</v>
      </c>
      <c r="B26" s="34" t="s">
        <v>481</v>
      </c>
      <c r="C26" s="34" t="s">
        <v>269</v>
      </c>
      <c r="D26" s="34" t="s">
        <v>270</v>
      </c>
      <c r="E26" s="34" t="s">
        <v>482</v>
      </c>
      <c r="F26" s="33"/>
      <c r="G26" s="33" t="s">
        <v>483</v>
      </c>
      <c r="H26" s="35">
        <v>344.0</v>
      </c>
      <c r="I26" s="36">
        <v>45708.0</v>
      </c>
      <c r="J26" s="34" t="s">
        <v>484</v>
      </c>
      <c r="K26" s="3"/>
      <c r="L26" s="3"/>
      <c r="M26" s="3"/>
      <c r="N26" s="3"/>
      <c r="O26" s="3"/>
      <c r="P26" s="3"/>
      <c r="Q26" s="3"/>
      <c r="R26" s="3"/>
      <c r="S26" s="3"/>
      <c r="T26" s="3"/>
      <c r="U26" s="3"/>
      <c r="V26" s="3"/>
      <c r="W26" s="3"/>
      <c r="X26" s="3"/>
      <c r="Y26" s="3"/>
      <c r="Z26" s="3"/>
    </row>
    <row r="27" ht="15.75" customHeight="1">
      <c r="A27" s="33" t="s">
        <v>485</v>
      </c>
      <c r="B27" s="34" t="s">
        <v>486</v>
      </c>
      <c r="C27" s="34" t="s">
        <v>274</v>
      </c>
      <c r="D27" s="34" t="s">
        <v>275</v>
      </c>
      <c r="E27" s="34" t="s">
        <v>487</v>
      </c>
      <c r="F27" s="33"/>
      <c r="G27" s="33" t="s">
        <v>488</v>
      </c>
      <c r="H27" s="35">
        <v>336.0</v>
      </c>
      <c r="I27" s="36">
        <v>45710.0</v>
      </c>
      <c r="J27" s="34" t="s">
        <v>489</v>
      </c>
      <c r="K27" s="3"/>
      <c r="L27" s="3"/>
      <c r="M27" s="3"/>
      <c r="N27" s="3"/>
      <c r="O27" s="3"/>
      <c r="P27" s="3"/>
      <c r="Q27" s="3"/>
      <c r="R27" s="3"/>
      <c r="S27" s="3"/>
      <c r="T27" s="3"/>
      <c r="U27" s="3"/>
      <c r="V27" s="3"/>
      <c r="W27" s="3"/>
      <c r="X27" s="3"/>
      <c r="Y27" s="3"/>
      <c r="Z27" s="3"/>
    </row>
    <row r="28" ht="15.75" customHeight="1">
      <c r="A28" s="33" t="s">
        <v>490</v>
      </c>
      <c r="B28" s="34" t="s">
        <v>491</v>
      </c>
      <c r="C28" s="34" t="s">
        <v>279</v>
      </c>
      <c r="D28" s="34" t="s">
        <v>280</v>
      </c>
      <c r="E28" s="34" t="s">
        <v>492</v>
      </c>
      <c r="F28" s="33"/>
      <c r="G28" s="33" t="s">
        <v>493</v>
      </c>
      <c r="H28" s="35">
        <v>345.0</v>
      </c>
      <c r="I28" s="36">
        <v>45604.0</v>
      </c>
      <c r="J28" s="34" t="s">
        <v>494</v>
      </c>
      <c r="K28" s="3"/>
      <c r="L28" s="3"/>
      <c r="M28" s="3"/>
      <c r="N28" s="3"/>
      <c r="O28" s="3"/>
      <c r="P28" s="3"/>
      <c r="Q28" s="3"/>
      <c r="R28" s="3"/>
      <c r="S28" s="3"/>
      <c r="T28" s="3"/>
      <c r="U28" s="3"/>
      <c r="V28" s="3"/>
      <c r="W28" s="3"/>
      <c r="X28" s="3"/>
      <c r="Y28" s="3"/>
      <c r="Z28" s="3"/>
    </row>
    <row r="29" ht="15.75" customHeight="1">
      <c r="A29" s="33" t="s">
        <v>495</v>
      </c>
      <c r="B29" s="34" t="s">
        <v>496</v>
      </c>
      <c r="C29" s="34" t="s">
        <v>284</v>
      </c>
      <c r="D29" s="34" t="s">
        <v>285</v>
      </c>
      <c r="E29" s="34" t="s">
        <v>497</v>
      </c>
      <c r="F29" s="33"/>
      <c r="G29" s="33" t="s">
        <v>498</v>
      </c>
      <c r="H29" s="35">
        <v>334.0</v>
      </c>
      <c r="I29" s="36">
        <v>45708.0</v>
      </c>
      <c r="J29" s="34" t="s">
        <v>499</v>
      </c>
      <c r="K29" s="3"/>
      <c r="L29" s="3"/>
      <c r="M29" s="3"/>
      <c r="N29" s="3"/>
      <c r="O29" s="3"/>
      <c r="P29" s="3"/>
      <c r="Q29" s="3"/>
      <c r="R29" s="3"/>
      <c r="S29" s="3"/>
      <c r="T29" s="3"/>
      <c r="U29" s="3"/>
      <c r="V29" s="3"/>
      <c r="W29" s="3"/>
      <c r="X29" s="3"/>
      <c r="Y29" s="3"/>
      <c r="Z29" s="3"/>
    </row>
    <row r="30" ht="15.75" customHeight="1">
      <c r="A30" s="33" t="s">
        <v>500</v>
      </c>
      <c r="B30" s="34" t="s">
        <v>501</v>
      </c>
      <c r="C30" s="34" t="s">
        <v>289</v>
      </c>
      <c r="D30" s="34" t="s">
        <v>290</v>
      </c>
      <c r="E30" s="34" t="s">
        <v>502</v>
      </c>
      <c r="F30" s="33"/>
      <c r="G30" s="33" t="s">
        <v>503</v>
      </c>
      <c r="H30" s="35">
        <v>295.0</v>
      </c>
      <c r="I30" s="36">
        <v>45710.0</v>
      </c>
      <c r="J30" s="34" t="s">
        <v>504</v>
      </c>
      <c r="K30" s="3"/>
      <c r="L30" s="3"/>
      <c r="M30" s="3"/>
      <c r="N30" s="3"/>
      <c r="O30" s="3"/>
      <c r="P30" s="3"/>
      <c r="Q30" s="3"/>
      <c r="R30" s="3"/>
      <c r="S30" s="3"/>
      <c r="T30" s="3"/>
      <c r="U30" s="3"/>
      <c r="V30" s="3"/>
      <c r="W30" s="3"/>
      <c r="X30" s="3"/>
      <c r="Y30" s="3"/>
      <c r="Z30" s="3"/>
    </row>
    <row r="31" ht="15.75" customHeight="1">
      <c r="A31" s="33" t="s">
        <v>505</v>
      </c>
      <c r="B31" s="34" t="s">
        <v>506</v>
      </c>
      <c r="C31" s="34" t="s">
        <v>294</v>
      </c>
      <c r="D31" s="34" t="s">
        <v>295</v>
      </c>
      <c r="E31" s="34" t="s">
        <v>507</v>
      </c>
      <c r="F31" s="33"/>
      <c r="G31" s="33" t="s">
        <v>508</v>
      </c>
      <c r="H31" s="35">
        <v>302.0</v>
      </c>
      <c r="I31" s="36">
        <v>45710.0</v>
      </c>
      <c r="J31" s="34" t="s">
        <v>509</v>
      </c>
      <c r="K31" s="3"/>
      <c r="L31" s="3"/>
      <c r="M31" s="3"/>
      <c r="N31" s="3"/>
      <c r="O31" s="3"/>
      <c r="P31" s="3"/>
      <c r="Q31" s="3"/>
      <c r="R31" s="3"/>
      <c r="S31" s="3"/>
      <c r="T31" s="3"/>
      <c r="U31" s="3"/>
      <c r="V31" s="3"/>
      <c r="W31" s="3"/>
      <c r="X31" s="3"/>
      <c r="Y31" s="3"/>
      <c r="Z31" s="3"/>
    </row>
    <row r="32" ht="15.75" customHeight="1">
      <c r="A32" s="33" t="s">
        <v>510</v>
      </c>
      <c r="B32" s="34" t="s">
        <v>511</v>
      </c>
      <c r="C32" s="34" t="s">
        <v>299</v>
      </c>
      <c r="D32" s="34" t="s">
        <v>300</v>
      </c>
      <c r="E32" s="34" t="s">
        <v>512</v>
      </c>
      <c r="F32" s="33"/>
      <c r="G32" s="33" t="s">
        <v>513</v>
      </c>
      <c r="H32" s="35">
        <v>315.0</v>
      </c>
      <c r="I32" s="36">
        <v>45607.0</v>
      </c>
      <c r="J32" s="34" t="s">
        <v>514</v>
      </c>
      <c r="K32" s="3"/>
      <c r="L32" s="3"/>
      <c r="M32" s="3"/>
      <c r="N32" s="3"/>
      <c r="O32" s="3"/>
      <c r="P32" s="3"/>
      <c r="Q32" s="3"/>
      <c r="R32" s="3"/>
      <c r="S32" s="3"/>
      <c r="T32" s="3"/>
      <c r="U32" s="3"/>
      <c r="V32" s="3"/>
      <c r="W32" s="3"/>
      <c r="X32" s="3"/>
      <c r="Y32" s="3"/>
      <c r="Z32" s="3"/>
    </row>
    <row r="33" ht="15.75" customHeight="1">
      <c r="A33" s="33" t="s">
        <v>515</v>
      </c>
      <c r="B33" s="34" t="s">
        <v>516</v>
      </c>
      <c r="C33" s="34" t="s">
        <v>304</v>
      </c>
      <c r="D33" s="34" t="s">
        <v>305</v>
      </c>
      <c r="E33" s="34" t="s">
        <v>517</v>
      </c>
      <c r="F33" s="33"/>
      <c r="G33" s="33" t="s">
        <v>518</v>
      </c>
      <c r="H33" s="35">
        <v>14.0</v>
      </c>
      <c r="I33" s="36">
        <v>45609.0</v>
      </c>
      <c r="J33" s="34" t="s">
        <v>519</v>
      </c>
      <c r="K33" s="3"/>
      <c r="L33" s="3"/>
      <c r="M33" s="3"/>
      <c r="N33" s="3"/>
      <c r="O33" s="3"/>
      <c r="P33" s="3"/>
      <c r="Q33" s="3"/>
      <c r="R33" s="3"/>
      <c r="S33" s="3"/>
      <c r="T33" s="3"/>
      <c r="U33" s="3"/>
      <c r="V33" s="3"/>
      <c r="W33" s="3"/>
      <c r="X33" s="3"/>
      <c r="Y33" s="3"/>
      <c r="Z33" s="3"/>
    </row>
    <row r="34" ht="15.75" customHeight="1">
      <c r="A34" s="33" t="s">
        <v>520</v>
      </c>
      <c r="B34" s="34" t="s">
        <v>521</v>
      </c>
      <c r="C34" s="34" t="s">
        <v>309</v>
      </c>
      <c r="D34" s="34" t="s">
        <v>310</v>
      </c>
      <c r="E34" s="34" t="s">
        <v>522</v>
      </c>
      <c r="F34" s="33"/>
      <c r="G34" s="33" t="s">
        <v>523</v>
      </c>
      <c r="H34" s="35">
        <v>324.0</v>
      </c>
      <c r="I34" s="36">
        <v>45609.0</v>
      </c>
      <c r="J34" s="34" t="s">
        <v>524</v>
      </c>
      <c r="K34" s="3"/>
      <c r="L34" s="3"/>
      <c r="M34" s="3"/>
      <c r="N34" s="3"/>
      <c r="O34" s="3"/>
      <c r="P34" s="3"/>
      <c r="Q34" s="3"/>
      <c r="R34" s="3"/>
      <c r="S34" s="3"/>
      <c r="T34" s="3"/>
      <c r="U34" s="3"/>
      <c r="V34" s="3"/>
      <c r="W34" s="3"/>
      <c r="X34" s="3"/>
      <c r="Y34" s="3"/>
      <c r="Z34" s="3"/>
    </row>
    <row r="35" ht="15.75" customHeight="1">
      <c r="A35" s="33" t="s">
        <v>525</v>
      </c>
      <c r="B35" s="34" t="s">
        <v>526</v>
      </c>
      <c r="C35" s="34" t="s">
        <v>314</v>
      </c>
      <c r="D35" s="34" t="s">
        <v>315</v>
      </c>
      <c r="E35" s="34" t="s">
        <v>527</v>
      </c>
      <c r="F35" s="33"/>
      <c r="G35" s="33" t="s">
        <v>528</v>
      </c>
      <c r="H35" s="35">
        <v>277.0</v>
      </c>
      <c r="I35" s="36">
        <v>45606.0</v>
      </c>
      <c r="J35" s="34" t="s">
        <v>529</v>
      </c>
      <c r="K35" s="3"/>
      <c r="L35" s="3"/>
      <c r="M35" s="3"/>
      <c r="N35" s="3"/>
      <c r="O35" s="3"/>
      <c r="P35" s="3"/>
      <c r="Q35" s="3"/>
      <c r="R35" s="3"/>
      <c r="S35" s="3"/>
      <c r="T35" s="3"/>
      <c r="U35" s="3"/>
      <c r="V35" s="3"/>
      <c r="W35" s="3"/>
      <c r="X35" s="3"/>
      <c r="Y35" s="3"/>
      <c r="Z35" s="3"/>
    </row>
    <row r="36" ht="15.75" customHeight="1">
      <c r="A36" s="33" t="s">
        <v>530</v>
      </c>
      <c r="B36" s="34" t="s">
        <v>531</v>
      </c>
      <c r="C36" s="34" t="s">
        <v>319</v>
      </c>
      <c r="D36" s="34" t="s">
        <v>320</v>
      </c>
      <c r="E36" s="34" t="s">
        <v>532</v>
      </c>
      <c r="F36" s="33"/>
      <c r="G36" s="33" t="s">
        <v>533</v>
      </c>
      <c r="H36" s="35">
        <v>328.0</v>
      </c>
      <c r="I36" s="36">
        <v>45601.0</v>
      </c>
      <c r="J36" s="34" t="s">
        <v>534</v>
      </c>
      <c r="K36" s="3"/>
      <c r="L36" s="3"/>
      <c r="M36" s="3"/>
      <c r="N36" s="3"/>
      <c r="O36" s="3"/>
      <c r="P36" s="3"/>
      <c r="Q36" s="3"/>
      <c r="R36" s="3"/>
      <c r="S36" s="3"/>
      <c r="T36" s="3"/>
      <c r="U36" s="3"/>
      <c r="V36" s="3"/>
      <c r="W36" s="3"/>
      <c r="X36" s="3"/>
      <c r="Y36" s="3"/>
      <c r="Z36" s="3"/>
    </row>
    <row r="37" ht="15.75" customHeight="1">
      <c r="A37" s="33" t="s">
        <v>535</v>
      </c>
      <c r="B37" s="34" t="s">
        <v>536</v>
      </c>
      <c r="C37" s="34" t="s">
        <v>324</v>
      </c>
      <c r="D37" s="34" t="s">
        <v>325</v>
      </c>
      <c r="E37" s="34" t="s">
        <v>537</v>
      </c>
      <c r="F37" s="33"/>
      <c r="G37" s="33" t="s">
        <v>538</v>
      </c>
      <c r="H37" s="35">
        <v>327.0</v>
      </c>
      <c r="I37" s="36">
        <v>45709.0</v>
      </c>
      <c r="J37" s="34" t="s">
        <v>539</v>
      </c>
      <c r="K37" s="3"/>
      <c r="L37" s="3"/>
      <c r="M37" s="3"/>
      <c r="N37" s="3"/>
      <c r="O37" s="3"/>
      <c r="P37" s="3"/>
      <c r="Q37" s="3"/>
      <c r="R37" s="3"/>
      <c r="S37" s="3"/>
      <c r="T37" s="3"/>
      <c r="U37" s="3"/>
      <c r="V37" s="3"/>
      <c r="W37" s="3"/>
      <c r="X37" s="3"/>
      <c r="Y37" s="3"/>
      <c r="Z37" s="3"/>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4.0"/>
    <col customWidth="1" min="2" max="2" width="38.0"/>
    <col customWidth="1" min="3" max="3" width="34.0"/>
    <col customWidth="1" min="4" max="5" width="55.0"/>
    <col customWidth="1" min="6" max="6" width="18.0"/>
    <col customWidth="1" min="7" max="7" width="30.0"/>
    <col customWidth="1" min="8" max="9" width="34.0"/>
    <col customWidth="1" min="10" max="10" width="36.0"/>
    <col customWidth="1" min="11" max="11" width="55.0"/>
    <col customWidth="1" min="12" max="12" width="65.0"/>
    <col customWidth="1" min="13" max="13" width="45.0"/>
    <col customWidth="1" min="14" max="14" width="24.0"/>
    <col customWidth="1" min="15" max="16" width="18.0"/>
    <col customWidth="1" min="17" max="17" width="48.0"/>
    <col customWidth="1" min="18" max="18" width="50.0"/>
    <col customWidth="1" min="19" max="19" width="44.0"/>
    <col customWidth="1" min="20" max="20" width="14.0"/>
    <col customWidth="1" min="21" max="21" width="18.0"/>
    <col customWidth="1" min="22" max="22" width="14.0"/>
    <col customWidth="1" min="23" max="24" width="52.0"/>
    <col customWidth="1" min="25" max="25" width="28.0"/>
    <col customWidth="1" min="26" max="26" width="42.0"/>
    <col customWidth="1" min="27" max="27" width="52.0"/>
  </cols>
  <sheetData>
    <row r="1" ht="24.0" customHeight="1">
      <c r="A1" s="1" t="s">
        <v>357</v>
      </c>
      <c r="B1" s="1" t="s">
        <v>540</v>
      </c>
      <c r="C1" s="1" t="s">
        <v>541</v>
      </c>
      <c r="D1" s="1" t="s">
        <v>542</v>
      </c>
      <c r="E1" s="1" t="s">
        <v>543</v>
      </c>
      <c r="F1" s="1" t="s">
        <v>544</v>
      </c>
      <c r="G1" s="1" t="s">
        <v>545</v>
      </c>
      <c r="H1" s="1" t="s">
        <v>546</v>
      </c>
      <c r="I1" s="1" t="s">
        <v>547</v>
      </c>
      <c r="J1" s="1" t="s">
        <v>548</v>
      </c>
      <c r="K1" s="1" t="s">
        <v>549</v>
      </c>
      <c r="L1" s="1" t="s">
        <v>550</v>
      </c>
      <c r="M1" s="1" t="s">
        <v>551</v>
      </c>
      <c r="N1" s="1" t="s">
        <v>552</v>
      </c>
      <c r="O1" s="1" t="s">
        <v>553</v>
      </c>
      <c r="P1" s="1" t="s">
        <v>554</v>
      </c>
      <c r="Q1" s="1" t="s">
        <v>555</v>
      </c>
      <c r="R1" s="1" t="s">
        <v>556</v>
      </c>
      <c r="S1" s="1" t="s">
        <v>557</v>
      </c>
      <c r="T1" s="1" t="s">
        <v>29</v>
      </c>
      <c r="U1" s="1" t="s">
        <v>30</v>
      </c>
      <c r="V1" s="1" t="s">
        <v>31</v>
      </c>
      <c r="W1" s="1" t="s">
        <v>358</v>
      </c>
      <c r="X1" s="1" t="s">
        <v>26</v>
      </c>
      <c r="Y1" s="1" t="s">
        <v>27</v>
      </c>
      <c r="Z1" s="1" t="s">
        <v>32</v>
      </c>
      <c r="AA1" s="1" t="s">
        <v>359</v>
      </c>
    </row>
    <row r="2" ht="42.0" customHeight="1">
      <c r="A2" s="2" t="s">
        <v>360</v>
      </c>
      <c r="B2" s="2" t="s">
        <v>558</v>
      </c>
      <c r="C2" s="2" t="s">
        <v>559</v>
      </c>
      <c r="D2" s="2" t="s">
        <v>560</v>
      </c>
      <c r="E2" s="2" t="s">
        <v>561</v>
      </c>
      <c r="F2" s="2" t="s">
        <v>562</v>
      </c>
      <c r="G2" s="2" t="s">
        <v>563</v>
      </c>
      <c r="H2" s="2" t="s">
        <v>564</v>
      </c>
      <c r="I2" s="2" t="s">
        <v>565</v>
      </c>
      <c r="J2" s="2" t="s">
        <v>566</v>
      </c>
      <c r="K2" s="2" t="s">
        <v>567</v>
      </c>
      <c r="L2" s="2" t="s">
        <v>568</v>
      </c>
      <c r="M2" s="2" t="s">
        <v>569</v>
      </c>
      <c r="N2" s="2" t="s">
        <v>570</v>
      </c>
      <c r="O2" s="2" t="s">
        <v>571</v>
      </c>
      <c r="P2" s="2" t="s">
        <v>572</v>
      </c>
      <c r="Q2" s="2" t="s">
        <v>573</v>
      </c>
      <c r="R2" s="2" t="s">
        <v>558</v>
      </c>
      <c r="S2" s="2" t="s">
        <v>574</v>
      </c>
      <c r="T2" s="2" t="s">
        <v>363</v>
      </c>
      <c r="U2" s="2">
        <v>227.0</v>
      </c>
      <c r="V2" s="38">
        <v>45640.0</v>
      </c>
      <c r="W2" s="2" t="s">
        <v>361</v>
      </c>
      <c r="X2" s="2" t="s">
        <v>149</v>
      </c>
      <c r="Y2" s="2" t="s">
        <v>150</v>
      </c>
      <c r="Z2" s="2" t="s">
        <v>364</v>
      </c>
      <c r="AA2" s="2" t="s">
        <v>362</v>
      </c>
    </row>
    <row r="3" ht="42.0" customHeight="1">
      <c r="A3" s="2" t="s">
        <v>440</v>
      </c>
      <c r="B3" s="2" t="s">
        <v>575</v>
      </c>
      <c r="C3" s="2" t="s">
        <v>576</v>
      </c>
      <c r="D3" s="2" t="s">
        <v>577</v>
      </c>
      <c r="E3" s="2" t="s">
        <v>578</v>
      </c>
      <c r="F3" s="2" t="s">
        <v>579</v>
      </c>
      <c r="G3" s="2" t="s">
        <v>580</v>
      </c>
      <c r="H3" s="2" t="s">
        <v>581</v>
      </c>
      <c r="I3" s="2" t="s">
        <v>582</v>
      </c>
      <c r="J3" s="2" t="s">
        <v>583</v>
      </c>
      <c r="K3" s="2" t="s">
        <v>584</v>
      </c>
      <c r="L3" s="2" t="s">
        <v>585</v>
      </c>
      <c r="M3" s="2" t="s">
        <v>586</v>
      </c>
      <c r="N3" s="2" t="s">
        <v>570</v>
      </c>
      <c r="O3" s="2" t="s">
        <v>571</v>
      </c>
      <c r="P3" s="2" t="s">
        <v>587</v>
      </c>
      <c r="Q3" s="2" t="s">
        <v>588</v>
      </c>
      <c r="R3" s="2" t="s">
        <v>575</v>
      </c>
      <c r="S3" s="2" t="s">
        <v>574</v>
      </c>
      <c r="T3" s="2" t="s">
        <v>443</v>
      </c>
      <c r="U3" s="2">
        <v>205.0</v>
      </c>
      <c r="V3" s="38">
        <v>45641.0</v>
      </c>
      <c r="W3" s="2" t="s">
        <v>441</v>
      </c>
      <c r="X3" s="2" t="s">
        <v>229</v>
      </c>
      <c r="Y3" s="2" t="s">
        <v>230</v>
      </c>
      <c r="Z3" s="2" t="s">
        <v>444</v>
      </c>
      <c r="AA3" s="2" t="s">
        <v>442</v>
      </c>
    </row>
    <row r="4" ht="42.0" customHeight="1">
      <c r="A4" s="2" t="s">
        <v>385</v>
      </c>
      <c r="B4" s="2" t="s">
        <v>589</v>
      </c>
      <c r="C4" s="2" t="s">
        <v>590</v>
      </c>
      <c r="D4" s="2" t="s">
        <v>591</v>
      </c>
      <c r="E4" s="2" t="s">
        <v>592</v>
      </c>
      <c r="F4" s="2" t="s">
        <v>593</v>
      </c>
      <c r="G4" s="2" t="s">
        <v>594</v>
      </c>
      <c r="H4" s="2" t="s">
        <v>595</v>
      </c>
      <c r="I4" s="2" t="s">
        <v>596</v>
      </c>
      <c r="J4" s="2" t="s">
        <v>597</v>
      </c>
      <c r="K4" s="2" t="s">
        <v>598</v>
      </c>
      <c r="L4" s="2" t="s">
        <v>599</v>
      </c>
      <c r="M4" s="2" t="s">
        <v>600</v>
      </c>
      <c r="N4" s="2" t="s">
        <v>570</v>
      </c>
      <c r="O4" s="2" t="s">
        <v>571</v>
      </c>
      <c r="P4" s="2" t="s">
        <v>601</v>
      </c>
      <c r="Q4" s="2" t="s">
        <v>602</v>
      </c>
      <c r="R4" s="2" t="s">
        <v>589</v>
      </c>
      <c r="S4" s="2" t="s">
        <v>574</v>
      </c>
      <c r="T4" s="2" t="s">
        <v>388</v>
      </c>
      <c r="U4" s="2">
        <v>338.0</v>
      </c>
      <c r="V4" s="38">
        <v>45604.0</v>
      </c>
      <c r="W4" s="2" t="s">
        <v>386</v>
      </c>
      <c r="X4" s="2" t="s">
        <v>174</v>
      </c>
      <c r="Y4" s="2" t="s">
        <v>175</v>
      </c>
      <c r="Z4" s="2" t="s">
        <v>389</v>
      </c>
      <c r="AA4" s="2" t="s">
        <v>387</v>
      </c>
    </row>
    <row r="5" ht="42.0" customHeight="1">
      <c r="A5" s="2" t="s">
        <v>425</v>
      </c>
      <c r="B5" s="2" t="s">
        <v>603</v>
      </c>
      <c r="C5" s="2" t="s">
        <v>604</v>
      </c>
      <c r="D5" s="2" t="s">
        <v>605</v>
      </c>
      <c r="E5" s="2" t="s">
        <v>606</v>
      </c>
      <c r="F5" s="2" t="s">
        <v>562</v>
      </c>
      <c r="G5" s="2" t="s">
        <v>607</v>
      </c>
      <c r="H5" s="2" t="s">
        <v>608</v>
      </c>
      <c r="I5" s="2" t="s">
        <v>609</v>
      </c>
      <c r="J5" s="2" t="s">
        <v>610</v>
      </c>
      <c r="K5" s="2" t="s">
        <v>611</v>
      </c>
      <c r="L5" s="2" t="s">
        <v>568</v>
      </c>
      <c r="M5" s="2" t="s">
        <v>612</v>
      </c>
      <c r="N5" s="2" t="s">
        <v>570</v>
      </c>
      <c r="O5" s="2" t="s">
        <v>571</v>
      </c>
      <c r="P5" s="2" t="s">
        <v>613</v>
      </c>
      <c r="Q5" s="2" t="s">
        <v>614</v>
      </c>
      <c r="R5" s="2" t="s">
        <v>603</v>
      </c>
      <c r="S5" s="2" t="s">
        <v>574</v>
      </c>
      <c r="T5" s="2" t="s">
        <v>428</v>
      </c>
      <c r="U5" s="2">
        <v>339.0</v>
      </c>
      <c r="V5" s="38">
        <v>45607.0</v>
      </c>
      <c r="W5" s="2" t="s">
        <v>426</v>
      </c>
      <c r="X5" s="2" t="s">
        <v>214</v>
      </c>
      <c r="Y5" s="2" t="s">
        <v>215</v>
      </c>
      <c r="Z5" s="2" t="s">
        <v>429</v>
      </c>
      <c r="AA5" s="2" t="s">
        <v>427</v>
      </c>
    </row>
    <row r="6" ht="42.0" customHeight="1">
      <c r="A6" s="2" t="s">
        <v>395</v>
      </c>
      <c r="B6" s="2" t="s">
        <v>615</v>
      </c>
      <c r="C6" s="2" t="s">
        <v>616</v>
      </c>
      <c r="D6" s="2" t="s">
        <v>617</v>
      </c>
      <c r="E6" s="2" t="s">
        <v>618</v>
      </c>
      <c r="F6" s="2" t="s">
        <v>619</v>
      </c>
      <c r="G6" s="2" t="s">
        <v>620</v>
      </c>
      <c r="H6" s="2" t="s">
        <v>621</v>
      </c>
      <c r="I6" s="2" t="s">
        <v>622</v>
      </c>
      <c r="J6" s="2" t="s">
        <v>623</v>
      </c>
      <c r="K6" s="2" t="s">
        <v>624</v>
      </c>
      <c r="L6" s="2" t="s">
        <v>625</v>
      </c>
      <c r="M6" s="2" t="s">
        <v>626</v>
      </c>
      <c r="N6" s="2" t="s">
        <v>570</v>
      </c>
      <c r="O6" s="2" t="s">
        <v>571</v>
      </c>
      <c r="P6" s="2" t="s">
        <v>627</v>
      </c>
      <c r="Q6" s="2" t="s">
        <v>628</v>
      </c>
      <c r="R6" s="2" t="s">
        <v>615</v>
      </c>
      <c r="S6" s="2" t="s">
        <v>574</v>
      </c>
      <c r="T6" s="2" t="s">
        <v>398</v>
      </c>
      <c r="U6" s="2">
        <v>224.0</v>
      </c>
      <c r="V6" s="38">
        <v>45640.0</v>
      </c>
      <c r="W6" s="2" t="s">
        <v>396</v>
      </c>
      <c r="X6" s="2" t="s">
        <v>184</v>
      </c>
      <c r="Y6" s="2" t="s">
        <v>185</v>
      </c>
      <c r="Z6" s="2" t="s">
        <v>399</v>
      </c>
      <c r="AA6" s="2" t="s">
        <v>397</v>
      </c>
    </row>
    <row r="7" ht="42.0" customHeight="1">
      <c r="A7" s="2" t="s">
        <v>400</v>
      </c>
      <c r="B7" s="2" t="s">
        <v>629</v>
      </c>
      <c r="C7" s="2" t="s">
        <v>630</v>
      </c>
      <c r="D7" s="2" t="s">
        <v>631</v>
      </c>
      <c r="E7" s="2" t="s">
        <v>632</v>
      </c>
      <c r="F7" s="2" t="s">
        <v>633</v>
      </c>
      <c r="G7" s="2" t="s">
        <v>634</v>
      </c>
      <c r="H7" s="2" t="s">
        <v>635</v>
      </c>
      <c r="I7" s="2" t="s">
        <v>636</v>
      </c>
      <c r="J7" s="2" t="s">
        <v>637</v>
      </c>
      <c r="K7" s="2" t="s">
        <v>638</v>
      </c>
      <c r="L7" s="2" t="s">
        <v>639</v>
      </c>
      <c r="M7" s="2" t="s">
        <v>640</v>
      </c>
      <c r="N7" s="2" t="s">
        <v>570</v>
      </c>
      <c r="O7" s="2" t="s">
        <v>571</v>
      </c>
      <c r="P7" s="2" t="s">
        <v>641</v>
      </c>
      <c r="Q7" s="2" t="s">
        <v>642</v>
      </c>
      <c r="R7" s="2" t="s">
        <v>643</v>
      </c>
      <c r="S7" s="2" t="s">
        <v>644</v>
      </c>
      <c r="T7" s="2" t="s">
        <v>403</v>
      </c>
      <c r="U7" s="2">
        <v>269.0</v>
      </c>
      <c r="V7" s="38">
        <v>45610.0</v>
      </c>
      <c r="W7" s="2" t="s">
        <v>401</v>
      </c>
      <c r="X7" s="2" t="s">
        <v>189</v>
      </c>
      <c r="Y7" s="2" t="s">
        <v>190</v>
      </c>
      <c r="Z7" s="2" t="s">
        <v>404</v>
      </c>
      <c r="AA7" s="2" t="s">
        <v>402</v>
      </c>
    </row>
    <row r="8" ht="42.0" customHeight="1">
      <c r="A8" s="2" t="s">
        <v>515</v>
      </c>
      <c r="B8" s="2" t="s">
        <v>645</v>
      </c>
      <c r="C8" s="2" t="s">
        <v>646</v>
      </c>
      <c r="D8" s="2" t="s">
        <v>647</v>
      </c>
      <c r="E8" s="2" t="s">
        <v>648</v>
      </c>
      <c r="F8" s="2" t="s">
        <v>649</v>
      </c>
      <c r="G8" s="2" t="s">
        <v>650</v>
      </c>
      <c r="H8" s="2" t="s">
        <v>651</v>
      </c>
      <c r="I8" s="2" t="s">
        <v>652</v>
      </c>
      <c r="J8" s="2" t="s">
        <v>653</v>
      </c>
      <c r="K8" s="2" t="s">
        <v>654</v>
      </c>
      <c r="L8" s="2" t="s">
        <v>655</v>
      </c>
      <c r="M8" s="2" t="s">
        <v>656</v>
      </c>
      <c r="N8" s="2" t="s">
        <v>570</v>
      </c>
      <c r="O8" s="2" t="s">
        <v>571</v>
      </c>
      <c r="P8" s="2" t="s">
        <v>657</v>
      </c>
      <c r="Q8" s="2" t="s">
        <v>658</v>
      </c>
      <c r="R8" s="2" t="s">
        <v>659</v>
      </c>
      <c r="S8" s="2" t="s">
        <v>660</v>
      </c>
      <c r="T8" s="2" t="s">
        <v>518</v>
      </c>
      <c r="U8" s="2">
        <v>14.0</v>
      </c>
      <c r="V8" s="38">
        <v>45609.0</v>
      </c>
      <c r="W8" s="2" t="s">
        <v>516</v>
      </c>
      <c r="X8" s="2" t="s">
        <v>304</v>
      </c>
      <c r="Y8" s="2" t="s">
        <v>305</v>
      </c>
      <c r="Z8" s="2" t="s">
        <v>519</v>
      </c>
      <c r="AA8" s="2" t="s">
        <v>517</v>
      </c>
    </row>
    <row r="9" ht="42.0" customHeight="1">
      <c r="A9" s="2" t="s">
        <v>370</v>
      </c>
      <c r="B9" s="2" t="s">
        <v>661</v>
      </c>
      <c r="C9" s="2" t="s">
        <v>662</v>
      </c>
      <c r="D9" s="2" t="s">
        <v>663</v>
      </c>
      <c r="E9" s="2" t="s">
        <v>664</v>
      </c>
      <c r="F9" s="2" t="s">
        <v>562</v>
      </c>
      <c r="G9" s="2" t="s">
        <v>607</v>
      </c>
      <c r="H9" s="2" t="s">
        <v>665</v>
      </c>
      <c r="I9" s="2" t="s">
        <v>666</v>
      </c>
      <c r="J9" s="2" t="s">
        <v>667</v>
      </c>
      <c r="K9" s="2" t="s">
        <v>668</v>
      </c>
      <c r="L9" s="2" t="s">
        <v>568</v>
      </c>
      <c r="M9" s="2" t="s">
        <v>669</v>
      </c>
      <c r="N9" s="2" t="s">
        <v>570</v>
      </c>
      <c r="O9" s="2" t="s">
        <v>571</v>
      </c>
      <c r="P9" s="2" t="s">
        <v>670</v>
      </c>
      <c r="Q9" s="2" t="s">
        <v>671</v>
      </c>
      <c r="R9" s="2" t="s">
        <v>661</v>
      </c>
      <c r="S9" s="2" t="s">
        <v>574</v>
      </c>
      <c r="T9" s="2" t="s">
        <v>373</v>
      </c>
      <c r="U9" s="2">
        <v>284.0</v>
      </c>
      <c r="V9" s="38">
        <v>45605.0</v>
      </c>
      <c r="W9" s="2" t="s">
        <v>371</v>
      </c>
      <c r="X9" s="2" t="s">
        <v>159</v>
      </c>
      <c r="Y9" s="2" t="s">
        <v>160</v>
      </c>
      <c r="Z9" s="2" t="s">
        <v>374</v>
      </c>
      <c r="AA9" s="2" t="s">
        <v>372</v>
      </c>
    </row>
    <row r="10" ht="42.0" customHeight="1">
      <c r="A10" s="2" t="s">
        <v>380</v>
      </c>
      <c r="B10" s="2" t="s">
        <v>672</v>
      </c>
      <c r="C10" s="2" t="s">
        <v>673</v>
      </c>
      <c r="D10" s="2" t="s">
        <v>674</v>
      </c>
      <c r="E10" s="2" t="s">
        <v>675</v>
      </c>
      <c r="F10" s="2" t="s">
        <v>562</v>
      </c>
      <c r="G10" s="2" t="s">
        <v>607</v>
      </c>
      <c r="H10" s="2" t="s">
        <v>676</v>
      </c>
      <c r="I10" s="2" t="s">
        <v>677</v>
      </c>
      <c r="J10" s="2" t="s">
        <v>678</v>
      </c>
      <c r="K10" s="2" t="s">
        <v>679</v>
      </c>
      <c r="L10" s="2" t="s">
        <v>568</v>
      </c>
      <c r="M10" s="2" t="s">
        <v>680</v>
      </c>
      <c r="N10" s="2" t="s">
        <v>570</v>
      </c>
      <c r="O10" s="2" t="s">
        <v>571</v>
      </c>
      <c r="P10" s="2" t="s">
        <v>681</v>
      </c>
      <c r="Q10" s="2" t="s">
        <v>682</v>
      </c>
      <c r="R10" s="2" t="s">
        <v>672</v>
      </c>
      <c r="S10" s="2" t="s">
        <v>574</v>
      </c>
      <c r="T10" s="2" t="s">
        <v>383</v>
      </c>
      <c r="U10" s="2">
        <v>312.0</v>
      </c>
      <c r="V10" s="38">
        <v>45606.0</v>
      </c>
      <c r="W10" s="2" t="s">
        <v>381</v>
      </c>
      <c r="X10" s="2" t="s">
        <v>169</v>
      </c>
      <c r="Y10" s="2" t="s">
        <v>170</v>
      </c>
      <c r="Z10" s="2" t="s">
        <v>384</v>
      </c>
      <c r="AA10" s="2" t="s">
        <v>382</v>
      </c>
    </row>
    <row r="11" ht="42.0" customHeight="1">
      <c r="A11" s="2" t="s">
        <v>430</v>
      </c>
      <c r="B11" s="2" t="s">
        <v>683</v>
      </c>
      <c r="C11" s="2" t="s">
        <v>684</v>
      </c>
      <c r="D11" s="2" t="s">
        <v>685</v>
      </c>
      <c r="E11" s="2" t="s">
        <v>686</v>
      </c>
      <c r="F11" s="2" t="s">
        <v>579</v>
      </c>
      <c r="G11" s="2" t="s">
        <v>580</v>
      </c>
      <c r="H11" s="2" t="s">
        <v>687</v>
      </c>
      <c r="I11" s="2" t="s">
        <v>688</v>
      </c>
      <c r="J11" s="2" t="s">
        <v>689</v>
      </c>
      <c r="K11" s="2" t="s">
        <v>690</v>
      </c>
      <c r="L11" s="2" t="s">
        <v>585</v>
      </c>
      <c r="M11" s="2" t="s">
        <v>691</v>
      </c>
      <c r="N11" s="2" t="s">
        <v>570</v>
      </c>
      <c r="O11" s="2" t="s">
        <v>571</v>
      </c>
      <c r="P11" s="2" t="s">
        <v>692</v>
      </c>
      <c r="Q11" s="2" t="s">
        <v>693</v>
      </c>
      <c r="R11" s="2" t="s">
        <v>694</v>
      </c>
      <c r="S11" s="2" t="s">
        <v>660</v>
      </c>
      <c r="T11" s="2" t="s">
        <v>433</v>
      </c>
      <c r="U11" s="2">
        <v>328.0</v>
      </c>
      <c r="V11" s="38">
        <v>45610.0</v>
      </c>
      <c r="W11" s="2" t="s">
        <v>431</v>
      </c>
      <c r="X11" s="2" t="s">
        <v>219</v>
      </c>
      <c r="Y11" s="2" t="s">
        <v>220</v>
      </c>
      <c r="Z11" s="2" t="s">
        <v>434</v>
      </c>
      <c r="AA11" s="2" t="s">
        <v>432</v>
      </c>
    </row>
    <row r="12" ht="42.0" customHeight="1">
      <c r="A12" s="2" t="s">
        <v>520</v>
      </c>
      <c r="B12" s="2" t="s">
        <v>695</v>
      </c>
      <c r="C12" s="2" t="s">
        <v>696</v>
      </c>
      <c r="D12" s="2" t="s">
        <v>697</v>
      </c>
      <c r="E12" s="2" t="s">
        <v>698</v>
      </c>
      <c r="F12" s="2" t="s">
        <v>562</v>
      </c>
      <c r="G12" s="2" t="s">
        <v>607</v>
      </c>
      <c r="H12" s="2" t="s">
        <v>699</v>
      </c>
      <c r="I12" s="2" t="s">
        <v>700</v>
      </c>
      <c r="J12" s="2" t="s">
        <v>701</v>
      </c>
      <c r="K12" s="2" t="s">
        <v>702</v>
      </c>
      <c r="L12" s="2" t="s">
        <v>568</v>
      </c>
      <c r="M12" s="2" t="s">
        <v>703</v>
      </c>
      <c r="N12" s="2" t="s">
        <v>570</v>
      </c>
      <c r="O12" s="2" t="s">
        <v>571</v>
      </c>
      <c r="P12" s="2" t="s">
        <v>704</v>
      </c>
      <c r="Q12" s="2" t="s">
        <v>705</v>
      </c>
      <c r="R12" s="2" t="s">
        <v>695</v>
      </c>
      <c r="S12" s="2" t="s">
        <v>574</v>
      </c>
      <c r="T12" s="2" t="s">
        <v>523</v>
      </c>
      <c r="U12" s="2">
        <v>324.0</v>
      </c>
      <c r="V12" s="38">
        <v>45609.0</v>
      </c>
      <c r="W12" s="2" t="s">
        <v>521</v>
      </c>
      <c r="X12" s="2" t="s">
        <v>309</v>
      </c>
      <c r="Y12" s="2" t="s">
        <v>310</v>
      </c>
      <c r="Z12" s="2" t="s">
        <v>524</v>
      </c>
      <c r="AA12" s="2" t="s">
        <v>522</v>
      </c>
    </row>
    <row r="13" ht="42.0" customHeight="1">
      <c r="A13" s="2" t="s">
        <v>445</v>
      </c>
      <c r="B13" s="2" t="s">
        <v>706</v>
      </c>
      <c r="C13" s="2" t="s">
        <v>707</v>
      </c>
      <c r="D13" s="2" t="s">
        <v>708</v>
      </c>
      <c r="E13" s="2" t="s">
        <v>709</v>
      </c>
      <c r="F13" s="2" t="s">
        <v>710</v>
      </c>
      <c r="G13" s="2" t="s">
        <v>711</v>
      </c>
      <c r="H13" s="2" t="s">
        <v>712</v>
      </c>
      <c r="I13" s="2" t="s">
        <v>713</v>
      </c>
      <c r="J13" s="2" t="s">
        <v>714</v>
      </c>
      <c r="K13" s="2" t="s">
        <v>715</v>
      </c>
      <c r="L13" s="2" t="s">
        <v>716</v>
      </c>
      <c r="M13" s="2" t="s">
        <v>717</v>
      </c>
      <c r="N13" s="2" t="s">
        <v>570</v>
      </c>
      <c r="O13" s="2" t="s">
        <v>571</v>
      </c>
      <c r="P13" s="2" t="s">
        <v>718</v>
      </c>
      <c r="Q13" s="2" t="s">
        <v>719</v>
      </c>
      <c r="R13" s="2" t="s">
        <v>720</v>
      </c>
      <c r="S13" s="2" t="s">
        <v>660</v>
      </c>
      <c r="T13" s="2" t="s">
        <v>448</v>
      </c>
      <c r="U13" s="2">
        <v>234.0</v>
      </c>
      <c r="V13" s="38">
        <v>45609.0</v>
      </c>
      <c r="W13" s="2" t="s">
        <v>446</v>
      </c>
      <c r="X13" s="2" t="s">
        <v>234</v>
      </c>
      <c r="Y13" s="2" t="s">
        <v>235</v>
      </c>
      <c r="Z13" s="2" t="s">
        <v>449</v>
      </c>
      <c r="AA13" s="2" t="s">
        <v>447</v>
      </c>
    </row>
    <row r="14" ht="42.0" customHeight="1">
      <c r="A14" s="2" t="s">
        <v>450</v>
      </c>
      <c r="B14" s="2" t="s">
        <v>721</v>
      </c>
      <c r="C14" s="2" t="s">
        <v>722</v>
      </c>
      <c r="D14" s="2" t="s">
        <v>723</v>
      </c>
      <c r="E14" s="2" t="s">
        <v>724</v>
      </c>
      <c r="F14" s="2" t="s">
        <v>725</v>
      </c>
      <c r="G14" s="2" t="s">
        <v>726</v>
      </c>
      <c r="H14" s="2" t="s">
        <v>727</v>
      </c>
      <c r="I14" s="2" t="s">
        <v>728</v>
      </c>
      <c r="J14" s="2" t="s">
        <v>729</v>
      </c>
      <c r="K14" s="2" t="s">
        <v>730</v>
      </c>
      <c r="L14" s="2" t="s">
        <v>731</v>
      </c>
      <c r="M14" s="2" t="s">
        <v>732</v>
      </c>
      <c r="N14" s="2" t="s">
        <v>570</v>
      </c>
      <c r="O14" s="2" t="s">
        <v>571</v>
      </c>
      <c r="P14" s="2" t="s">
        <v>733</v>
      </c>
      <c r="Q14" s="2" t="s">
        <v>734</v>
      </c>
      <c r="R14" s="2" t="s">
        <v>721</v>
      </c>
      <c r="S14" s="2" t="s">
        <v>574</v>
      </c>
      <c r="T14" s="2" t="s">
        <v>453</v>
      </c>
      <c r="U14" s="2">
        <v>369.0</v>
      </c>
      <c r="V14" s="38">
        <v>45608.0</v>
      </c>
      <c r="W14" s="2" t="s">
        <v>451</v>
      </c>
      <c r="X14" s="2" t="s">
        <v>239</v>
      </c>
      <c r="Y14" s="2" t="s">
        <v>240</v>
      </c>
      <c r="Z14" s="2" t="s">
        <v>454</v>
      </c>
      <c r="AA14" s="2" t="s">
        <v>452</v>
      </c>
    </row>
    <row r="15" ht="42.0" customHeight="1">
      <c r="A15" s="2" t="s">
        <v>420</v>
      </c>
      <c r="B15" s="2" t="s">
        <v>735</v>
      </c>
      <c r="C15" s="2" t="s">
        <v>736</v>
      </c>
      <c r="D15" s="2" t="s">
        <v>737</v>
      </c>
      <c r="E15" s="2" t="s">
        <v>738</v>
      </c>
      <c r="F15" s="2" t="s">
        <v>739</v>
      </c>
      <c r="G15" s="2" t="s">
        <v>740</v>
      </c>
      <c r="H15" s="2" t="s">
        <v>741</v>
      </c>
      <c r="I15" s="2" t="s">
        <v>742</v>
      </c>
      <c r="J15" s="2" t="s">
        <v>743</v>
      </c>
      <c r="K15" s="2" t="s">
        <v>744</v>
      </c>
      <c r="L15" s="2" t="s">
        <v>745</v>
      </c>
      <c r="M15" s="2" t="s">
        <v>746</v>
      </c>
      <c r="N15" s="2" t="s">
        <v>570</v>
      </c>
      <c r="O15" s="2" t="s">
        <v>571</v>
      </c>
      <c r="P15" s="2" t="s">
        <v>747</v>
      </c>
      <c r="Q15" s="2" t="s">
        <v>748</v>
      </c>
      <c r="R15" s="2" t="s">
        <v>735</v>
      </c>
      <c r="S15" s="2" t="s">
        <v>574</v>
      </c>
      <c r="T15" s="2" t="s">
        <v>423</v>
      </c>
      <c r="U15" s="2">
        <v>347.0</v>
      </c>
      <c r="V15" s="38">
        <v>45608.0</v>
      </c>
      <c r="W15" s="2" t="s">
        <v>421</v>
      </c>
      <c r="X15" s="2" t="s">
        <v>209</v>
      </c>
      <c r="Y15" s="2" t="s">
        <v>210</v>
      </c>
      <c r="Z15" s="2" t="s">
        <v>424</v>
      </c>
      <c r="AA15" s="2" t="s">
        <v>422</v>
      </c>
    </row>
    <row r="16" ht="42.0" customHeight="1">
      <c r="A16" s="2" t="s">
        <v>525</v>
      </c>
      <c r="B16" s="2" t="s">
        <v>749</v>
      </c>
      <c r="C16" s="2" t="s">
        <v>750</v>
      </c>
      <c r="D16" s="2" t="s">
        <v>751</v>
      </c>
      <c r="E16" s="2" t="s">
        <v>752</v>
      </c>
      <c r="F16" s="2" t="s">
        <v>753</v>
      </c>
      <c r="G16" s="2" t="s">
        <v>754</v>
      </c>
      <c r="H16" s="2" t="s">
        <v>755</v>
      </c>
      <c r="I16" s="2" t="s">
        <v>756</v>
      </c>
      <c r="J16" s="2" t="s">
        <v>757</v>
      </c>
      <c r="K16" s="2" t="s">
        <v>758</v>
      </c>
      <c r="L16" s="2" t="s">
        <v>759</v>
      </c>
      <c r="M16" s="2" t="s">
        <v>760</v>
      </c>
      <c r="N16" s="2" t="s">
        <v>570</v>
      </c>
      <c r="O16" s="2" t="s">
        <v>571</v>
      </c>
      <c r="P16" s="2" t="s">
        <v>761</v>
      </c>
      <c r="Q16" s="2" t="s">
        <v>762</v>
      </c>
      <c r="R16" s="2" t="s">
        <v>749</v>
      </c>
      <c r="S16" s="2" t="s">
        <v>574</v>
      </c>
      <c r="T16" s="2" t="s">
        <v>528</v>
      </c>
      <c r="U16" s="2">
        <v>277.0</v>
      </c>
      <c r="V16" s="38">
        <v>45606.0</v>
      </c>
      <c r="W16" s="2" t="s">
        <v>526</v>
      </c>
      <c r="X16" s="2" t="s">
        <v>314</v>
      </c>
      <c r="Y16" s="2" t="s">
        <v>315</v>
      </c>
      <c r="Z16" s="2" t="s">
        <v>529</v>
      </c>
      <c r="AA16" s="2" t="s">
        <v>527</v>
      </c>
    </row>
    <row r="17" ht="42.0" customHeight="1">
      <c r="A17" s="2" t="s">
        <v>365</v>
      </c>
      <c r="B17" s="2" t="s">
        <v>763</v>
      </c>
      <c r="C17" s="2" t="s">
        <v>764</v>
      </c>
      <c r="D17" s="2" t="s">
        <v>765</v>
      </c>
      <c r="E17" s="2" t="s">
        <v>766</v>
      </c>
      <c r="F17" s="2" t="s">
        <v>767</v>
      </c>
      <c r="G17" s="2" t="s">
        <v>768</v>
      </c>
      <c r="H17" s="2" t="s">
        <v>769</v>
      </c>
      <c r="I17" s="2" t="s">
        <v>770</v>
      </c>
      <c r="J17" s="2" t="s">
        <v>771</v>
      </c>
      <c r="K17" s="2" t="s">
        <v>772</v>
      </c>
      <c r="L17" s="2" t="s">
        <v>773</v>
      </c>
      <c r="M17" s="2" t="s">
        <v>774</v>
      </c>
      <c r="N17" s="2" t="s">
        <v>570</v>
      </c>
      <c r="O17" s="2" t="s">
        <v>571</v>
      </c>
      <c r="P17" s="2" t="s">
        <v>775</v>
      </c>
      <c r="Q17" s="2" t="s">
        <v>776</v>
      </c>
      <c r="R17" s="2" t="s">
        <v>763</v>
      </c>
      <c r="S17" s="2" t="s">
        <v>574</v>
      </c>
      <c r="T17" s="2" t="s">
        <v>368</v>
      </c>
      <c r="U17" s="2">
        <v>330.0</v>
      </c>
      <c r="V17" s="38">
        <v>45606.0</v>
      </c>
      <c r="W17" s="2" t="s">
        <v>366</v>
      </c>
      <c r="X17" s="2" t="s">
        <v>154</v>
      </c>
      <c r="Y17" s="2" t="s">
        <v>155</v>
      </c>
      <c r="Z17" s="2" t="s">
        <v>369</v>
      </c>
      <c r="AA17" s="2" t="s">
        <v>367</v>
      </c>
    </row>
    <row r="18" ht="42.0" customHeight="1">
      <c r="A18" s="2" t="s">
        <v>375</v>
      </c>
      <c r="B18" s="2" t="s">
        <v>777</v>
      </c>
      <c r="C18" s="2" t="s">
        <v>778</v>
      </c>
      <c r="D18" s="2" t="s">
        <v>779</v>
      </c>
      <c r="E18" s="2" t="s">
        <v>780</v>
      </c>
      <c r="F18" s="2" t="s">
        <v>781</v>
      </c>
      <c r="G18" s="2" t="s">
        <v>782</v>
      </c>
      <c r="H18" s="2" t="s">
        <v>783</v>
      </c>
      <c r="I18" s="2" t="s">
        <v>784</v>
      </c>
      <c r="J18" s="2" t="s">
        <v>785</v>
      </c>
      <c r="K18" s="2" t="s">
        <v>786</v>
      </c>
      <c r="L18" s="2" t="s">
        <v>787</v>
      </c>
      <c r="M18" s="2" t="s">
        <v>788</v>
      </c>
      <c r="N18" s="2" t="s">
        <v>570</v>
      </c>
      <c r="O18" s="2" t="s">
        <v>571</v>
      </c>
      <c r="P18" s="2" t="s">
        <v>789</v>
      </c>
      <c r="Q18" s="2" t="s">
        <v>790</v>
      </c>
      <c r="R18" s="2" t="s">
        <v>777</v>
      </c>
      <c r="S18" s="2" t="s">
        <v>574</v>
      </c>
      <c r="T18" s="2" t="s">
        <v>378</v>
      </c>
      <c r="U18" s="2">
        <v>323.0</v>
      </c>
      <c r="V18" s="38">
        <v>45605.0</v>
      </c>
      <c r="W18" s="2" t="s">
        <v>376</v>
      </c>
      <c r="X18" s="2" t="s">
        <v>164</v>
      </c>
      <c r="Y18" s="2" t="s">
        <v>165</v>
      </c>
      <c r="Z18" s="2" t="s">
        <v>379</v>
      </c>
      <c r="AA18" s="2" t="s">
        <v>377</v>
      </c>
    </row>
    <row r="19" ht="42.0" customHeight="1">
      <c r="A19" s="2" t="s">
        <v>410</v>
      </c>
      <c r="B19" s="2" t="s">
        <v>791</v>
      </c>
      <c r="C19" s="2" t="s">
        <v>792</v>
      </c>
      <c r="D19" s="2" t="s">
        <v>793</v>
      </c>
      <c r="E19" s="2" t="s">
        <v>794</v>
      </c>
      <c r="F19" s="2" t="s">
        <v>795</v>
      </c>
      <c r="G19" s="2" t="s">
        <v>796</v>
      </c>
      <c r="H19" s="2" t="s">
        <v>797</v>
      </c>
      <c r="I19" s="2" t="s">
        <v>798</v>
      </c>
      <c r="J19" s="2" t="s">
        <v>799</v>
      </c>
      <c r="K19" s="2" t="s">
        <v>800</v>
      </c>
      <c r="L19" s="2" t="s">
        <v>801</v>
      </c>
      <c r="M19" s="2" t="s">
        <v>802</v>
      </c>
      <c r="N19" s="2" t="s">
        <v>570</v>
      </c>
      <c r="O19" s="2" t="s">
        <v>571</v>
      </c>
      <c r="P19" s="2" t="s">
        <v>803</v>
      </c>
      <c r="Q19" s="2" t="s">
        <v>804</v>
      </c>
      <c r="R19" s="2" t="s">
        <v>791</v>
      </c>
      <c r="S19" s="2" t="s">
        <v>574</v>
      </c>
      <c r="T19" s="2" t="s">
        <v>413</v>
      </c>
      <c r="U19" s="2">
        <v>286.0</v>
      </c>
      <c r="V19" s="38">
        <v>45605.0</v>
      </c>
      <c r="W19" s="2" t="s">
        <v>411</v>
      </c>
      <c r="X19" s="2" t="s">
        <v>199</v>
      </c>
      <c r="Y19" s="2" t="s">
        <v>200</v>
      </c>
      <c r="Z19" s="2" t="s">
        <v>414</v>
      </c>
      <c r="AA19" s="2" t="s">
        <v>412</v>
      </c>
    </row>
    <row r="20" ht="42.0" customHeight="1">
      <c r="A20" s="2" t="s">
        <v>470</v>
      </c>
      <c r="B20" s="2" t="s">
        <v>805</v>
      </c>
      <c r="C20" s="2" t="s">
        <v>806</v>
      </c>
      <c r="D20" s="2" t="s">
        <v>807</v>
      </c>
      <c r="E20" s="2" t="s">
        <v>808</v>
      </c>
      <c r="F20" s="2" t="s">
        <v>579</v>
      </c>
      <c r="G20" s="2" t="s">
        <v>580</v>
      </c>
      <c r="H20" s="2" t="s">
        <v>809</v>
      </c>
      <c r="I20" s="2" t="s">
        <v>810</v>
      </c>
      <c r="J20" s="2" t="s">
        <v>811</v>
      </c>
      <c r="K20" s="2" t="s">
        <v>812</v>
      </c>
      <c r="L20" s="2" t="s">
        <v>585</v>
      </c>
      <c r="M20" s="2" t="s">
        <v>813</v>
      </c>
      <c r="N20" s="2" t="s">
        <v>570</v>
      </c>
      <c r="O20" s="2" t="s">
        <v>571</v>
      </c>
      <c r="P20" s="2" t="s">
        <v>814</v>
      </c>
      <c r="Q20" s="2" t="s">
        <v>815</v>
      </c>
      <c r="R20" s="2" t="s">
        <v>805</v>
      </c>
      <c r="S20" s="2" t="s">
        <v>574</v>
      </c>
      <c r="T20" s="2" t="s">
        <v>473</v>
      </c>
      <c r="U20" s="2">
        <v>348.0</v>
      </c>
      <c r="V20" s="38">
        <v>45602.0</v>
      </c>
      <c r="W20" s="2" t="s">
        <v>471</v>
      </c>
      <c r="X20" s="2" t="s">
        <v>259</v>
      </c>
      <c r="Y20" s="2" t="s">
        <v>260</v>
      </c>
      <c r="Z20" s="2" t="s">
        <v>474</v>
      </c>
      <c r="AA20" s="2" t="s">
        <v>472</v>
      </c>
    </row>
    <row r="21" ht="42.0" customHeight="1">
      <c r="A21" s="2" t="s">
        <v>415</v>
      </c>
      <c r="B21" s="2" t="s">
        <v>816</v>
      </c>
      <c r="C21" s="2" t="s">
        <v>817</v>
      </c>
      <c r="D21" s="2" t="s">
        <v>818</v>
      </c>
      <c r="E21" s="2" t="s">
        <v>819</v>
      </c>
      <c r="F21" s="2" t="s">
        <v>820</v>
      </c>
      <c r="G21" s="2" t="s">
        <v>821</v>
      </c>
      <c r="H21" s="2" t="s">
        <v>822</v>
      </c>
      <c r="I21" s="2" t="s">
        <v>823</v>
      </c>
      <c r="J21" s="2" t="s">
        <v>824</v>
      </c>
      <c r="K21" s="2" t="s">
        <v>825</v>
      </c>
      <c r="L21" s="2" t="s">
        <v>826</v>
      </c>
      <c r="M21" s="2" t="s">
        <v>827</v>
      </c>
      <c r="N21" s="2" t="s">
        <v>570</v>
      </c>
      <c r="O21" s="2" t="s">
        <v>571</v>
      </c>
      <c r="P21" s="2" t="s">
        <v>828</v>
      </c>
      <c r="Q21" s="2" t="s">
        <v>829</v>
      </c>
      <c r="R21" s="2" t="s">
        <v>830</v>
      </c>
      <c r="S21" s="2" t="s">
        <v>660</v>
      </c>
      <c r="T21" s="2" t="s">
        <v>418</v>
      </c>
      <c r="U21" s="2">
        <v>319.0</v>
      </c>
      <c r="V21" s="38">
        <v>45607.0</v>
      </c>
      <c r="W21" s="2" t="s">
        <v>416</v>
      </c>
      <c r="X21" s="2" t="s">
        <v>204</v>
      </c>
      <c r="Y21" s="2" t="s">
        <v>205</v>
      </c>
      <c r="Z21" s="2" t="s">
        <v>419</v>
      </c>
      <c r="AA21" s="2" t="s">
        <v>417</v>
      </c>
    </row>
    <row r="22" ht="42.0" customHeight="1">
      <c r="A22" s="2" t="s">
        <v>510</v>
      </c>
      <c r="B22" s="2" t="s">
        <v>831</v>
      </c>
      <c r="C22" s="2" t="s">
        <v>832</v>
      </c>
      <c r="D22" s="2" t="s">
        <v>833</v>
      </c>
      <c r="E22" s="2" t="s">
        <v>834</v>
      </c>
      <c r="F22" s="2" t="s">
        <v>835</v>
      </c>
      <c r="G22" s="2" t="s">
        <v>836</v>
      </c>
      <c r="H22" s="2" t="s">
        <v>837</v>
      </c>
      <c r="I22" s="2" t="s">
        <v>838</v>
      </c>
      <c r="J22" s="2" t="s">
        <v>839</v>
      </c>
      <c r="K22" s="2" t="s">
        <v>840</v>
      </c>
      <c r="L22" s="2" t="s">
        <v>841</v>
      </c>
      <c r="M22" s="2" t="s">
        <v>842</v>
      </c>
      <c r="N22" s="2" t="s">
        <v>570</v>
      </c>
      <c r="O22" s="2" t="s">
        <v>571</v>
      </c>
      <c r="P22" s="2" t="s">
        <v>843</v>
      </c>
      <c r="Q22" s="2" t="s">
        <v>844</v>
      </c>
      <c r="R22" s="2" t="s">
        <v>831</v>
      </c>
      <c r="S22" s="2" t="s">
        <v>574</v>
      </c>
      <c r="T22" s="2" t="s">
        <v>513</v>
      </c>
      <c r="U22" s="2">
        <v>315.0</v>
      </c>
      <c r="V22" s="38">
        <v>45607.0</v>
      </c>
      <c r="W22" s="2" t="s">
        <v>511</v>
      </c>
      <c r="X22" s="2" t="s">
        <v>299</v>
      </c>
      <c r="Y22" s="2" t="s">
        <v>300</v>
      </c>
      <c r="Z22" s="2" t="s">
        <v>514</v>
      </c>
      <c r="AA22" s="2" t="s">
        <v>512</v>
      </c>
    </row>
    <row r="23" ht="42.0" customHeight="1">
      <c r="A23" s="2" t="s">
        <v>530</v>
      </c>
      <c r="B23" s="2" t="s">
        <v>845</v>
      </c>
      <c r="C23" s="2" t="s">
        <v>846</v>
      </c>
      <c r="D23" s="2" t="s">
        <v>847</v>
      </c>
      <c r="E23" s="2" t="s">
        <v>848</v>
      </c>
      <c r="F23" s="2" t="s">
        <v>849</v>
      </c>
      <c r="G23" s="2" t="s">
        <v>850</v>
      </c>
      <c r="H23" s="2" t="s">
        <v>851</v>
      </c>
      <c r="I23" s="2" t="s">
        <v>852</v>
      </c>
      <c r="J23" s="2" t="s">
        <v>853</v>
      </c>
      <c r="K23" s="2" t="s">
        <v>854</v>
      </c>
      <c r="L23" s="2" t="s">
        <v>855</v>
      </c>
      <c r="M23" s="2" t="s">
        <v>856</v>
      </c>
      <c r="N23" s="2" t="s">
        <v>570</v>
      </c>
      <c r="O23" s="2" t="s">
        <v>571</v>
      </c>
      <c r="P23" s="2" t="s">
        <v>857</v>
      </c>
      <c r="Q23" s="2" t="s">
        <v>858</v>
      </c>
      <c r="R23" s="2" t="s">
        <v>845</v>
      </c>
      <c r="S23" s="2" t="s">
        <v>574</v>
      </c>
      <c r="T23" s="2" t="s">
        <v>533</v>
      </c>
      <c r="U23" s="2">
        <v>328.0</v>
      </c>
      <c r="V23" s="38">
        <v>45601.0</v>
      </c>
      <c r="W23" s="2" t="s">
        <v>531</v>
      </c>
      <c r="X23" s="2" t="s">
        <v>319</v>
      </c>
      <c r="Y23" s="2" t="s">
        <v>320</v>
      </c>
      <c r="Z23" s="2" t="s">
        <v>534</v>
      </c>
      <c r="AA23" s="2" t="s">
        <v>532</v>
      </c>
    </row>
    <row r="24" ht="42.0" customHeight="1">
      <c r="A24" s="2" t="s">
        <v>490</v>
      </c>
      <c r="B24" s="2" t="s">
        <v>859</v>
      </c>
      <c r="C24" s="2" t="s">
        <v>860</v>
      </c>
      <c r="D24" s="2" t="s">
        <v>861</v>
      </c>
      <c r="E24" s="2" t="s">
        <v>862</v>
      </c>
      <c r="F24" s="2" t="s">
        <v>820</v>
      </c>
      <c r="G24" s="2" t="s">
        <v>821</v>
      </c>
      <c r="H24" s="2" t="s">
        <v>863</v>
      </c>
      <c r="I24" s="2" t="s">
        <v>864</v>
      </c>
      <c r="J24" s="2" t="s">
        <v>865</v>
      </c>
      <c r="K24" s="2" t="s">
        <v>866</v>
      </c>
      <c r="L24" s="2" t="s">
        <v>826</v>
      </c>
      <c r="M24" s="2" t="s">
        <v>867</v>
      </c>
      <c r="N24" s="2" t="s">
        <v>570</v>
      </c>
      <c r="O24" s="2" t="s">
        <v>571</v>
      </c>
      <c r="P24" s="2" t="s">
        <v>868</v>
      </c>
      <c r="Q24" s="2" t="s">
        <v>869</v>
      </c>
      <c r="R24" s="2" t="s">
        <v>859</v>
      </c>
      <c r="S24" s="2" t="s">
        <v>574</v>
      </c>
      <c r="T24" s="2" t="s">
        <v>493</v>
      </c>
      <c r="U24" s="2">
        <v>345.0</v>
      </c>
      <c r="V24" s="38">
        <v>45604.0</v>
      </c>
      <c r="W24" s="2" t="s">
        <v>491</v>
      </c>
      <c r="X24" s="2" t="s">
        <v>279</v>
      </c>
      <c r="Y24" s="2" t="s">
        <v>280</v>
      </c>
      <c r="Z24" s="2" t="s">
        <v>494</v>
      </c>
      <c r="AA24" s="2" t="s">
        <v>492</v>
      </c>
    </row>
    <row r="25" ht="42.0" customHeight="1">
      <c r="A25" s="2" t="s">
        <v>465</v>
      </c>
      <c r="B25" s="2" t="s">
        <v>870</v>
      </c>
      <c r="C25" s="2" t="s">
        <v>871</v>
      </c>
      <c r="D25" s="2" t="s">
        <v>872</v>
      </c>
      <c r="E25" s="2" t="s">
        <v>873</v>
      </c>
      <c r="F25" s="2" t="s">
        <v>874</v>
      </c>
      <c r="G25" s="2" t="s">
        <v>875</v>
      </c>
      <c r="H25" s="2" t="s">
        <v>876</v>
      </c>
      <c r="I25" s="2" t="s">
        <v>877</v>
      </c>
      <c r="J25" s="2" t="s">
        <v>878</v>
      </c>
      <c r="K25" s="2" t="s">
        <v>879</v>
      </c>
      <c r="L25" s="2" t="s">
        <v>880</v>
      </c>
      <c r="M25" s="2" t="s">
        <v>881</v>
      </c>
      <c r="N25" s="2" t="s">
        <v>570</v>
      </c>
      <c r="O25" s="2" t="s">
        <v>571</v>
      </c>
      <c r="P25" s="2" t="s">
        <v>882</v>
      </c>
      <c r="Q25" s="2" t="s">
        <v>883</v>
      </c>
      <c r="R25" s="2" t="s">
        <v>870</v>
      </c>
      <c r="S25" s="2" t="s">
        <v>574</v>
      </c>
      <c r="T25" s="2" t="s">
        <v>468</v>
      </c>
      <c r="U25" s="2">
        <v>296.0</v>
      </c>
      <c r="V25" s="38">
        <v>45602.0</v>
      </c>
      <c r="W25" s="2" t="s">
        <v>466</v>
      </c>
      <c r="X25" s="2" t="s">
        <v>254</v>
      </c>
      <c r="Y25" s="2" t="s">
        <v>255</v>
      </c>
      <c r="Z25" s="2" t="s">
        <v>469</v>
      </c>
      <c r="AA25" s="2" t="s">
        <v>467</v>
      </c>
    </row>
    <row r="26" ht="42.0" customHeight="1">
      <c r="A26" s="2" t="s">
        <v>405</v>
      </c>
      <c r="B26" s="2" t="s">
        <v>884</v>
      </c>
      <c r="C26" s="2" t="s">
        <v>885</v>
      </c>
      <c r="D26" s="2" t="s">
        <v>886</v>
      </c>
      <c r="E26" s="2" t="s">
        <v>887</v>
      </c>
      <c r="F26" s="2" t="s">
        <v>888</v>
      </c>
      <c r="G26" s="2" t="s">
        <v>889</v>
      </c>
      <c r="H26" s="2" t="s">
        <v>890</v>
      </c>
      <c r="I26" s="2" t="s">
        <v>891</v>
      </c>
      <c r="J26" s="2" t="s">
        <v>892</v>
      </c>
      <c r="K26" s="2" t="s">
        <v>893</v>
      </c>
      <c r="L26" s="2" t="s">
        <v>894</v>
      </c>
      <c r="M26" s="2" t="s">
        <v>895</v>
      </c>
      <c r="N26" s="2" t="s">
        <v>570</v>
      </c>
      <c r="O26" s="2" t="s">
        <v>571</v>
      </c>
      <c r="P26" s="2" t="s">
        <v>896</v>
      </c>
      <c r="Q26" s="2" t="s">
        <v>897</v>
      </c>
      <c r="R26" s="2" t="s">
        <v>884</v>
      </c>
      <c r="S26" s="2" t="s">
        <v>574</v>
      </c>
      <c r="T26" s="2" t="s">
        <v>408</v>
      </c>
      <c r="U26" s="2">
        <v>221.0</v>
      </c>
      <c r="V26" s="38">
        <v>45641.0</v>
      </c>
      <c r="W26" s="2" t="s">
        <v>406</v>
      </c>
      <c r="X26" s="2" t="s">
        <v>194</v>
      </c>
      <c r="Y26" s="2" t="s">
        <v>195</v>
      </c>
      <c r="Z26" s="2" t="s">
        <v>409</v>
      </c>
      <c r="AA26" s="2" t="s">
        <v>407</v>
      </c>
    </row>
    <row r="27" ht="42.0" customHeight="1">
      <c r="A27" s="2" t="s">
        <v>460</v>
      </c>
      <c r="B27" s="2" t="s">
        <v>898</v>
      </c>
      <c r="C27" s="2" t="s">
        <v>899</v>
      </c>
      <c r="D27" s="2" t="s">
        <v>900</v>
      </c>
      <c r="E27" s="2" t="s">
        <v>901</v>
      </c>
      <c r="F27" s="2" t="s">
        <v>888</v>
      </c>
      <c r="G27" s="2" t="s">
        <v>889</v>
      </c>
      <c r="H27" s="2" t="s">
        <v>902</v>
      </c>
      <c r="I27" s="2" t="s">
        <v>903</v>
      </c>
      <c r="J27" s="2" t="s">
        <v>904</v>
      </c>
      <c r="K27" s="2" t="s">
        <v>905</v>
      </c>
      <c r="L27" s="2" t="s">
        <v>894</v>
      </c>
      <c r="M27" s="2" t="s">
        <v>906</v>
      </c>
      <c r="N27" s="2" t="s">
        <v>570</v>
      </c>
      <c r="O27" s="2" t="s">
        <v>571</v>
      </c>
      <c r="P27" s="2" t="s">
        <v>907</v>
      </c>
      <c r="Q27" s="2" t="s">
        <v>908</v>
      </c>
      <c r="R27" s="2" t="s">
        <v>898</v>
      </c>
      <c r="S27" s="2" t="s">
        <v>574</v>
      </c>
      <c r="T27" s="2" t="s">
        <v>463</v>
      </c>
      <c r="U27" s="2">
        <v>338.0</v>
      </c>
      <c r="V27" s="38">
        <v>45602.0</v>
      </c>
      <c r="W27" s="2" t="s">
        <v>461</v>
      </c>
      <c r="X27" s="2" t="s">
        <v>249</v>
      </c>
      <c r="Y27" s="2" t="s">
        <v>250</v>
      </c>
      <c r="Z27" s="2" t="s">
        <v>464</v>
      </c>
      <c r="AA27" s="2" t="s">
        <v>462</v>
      </c>
    </row>
    <row r="28" ht="42.0" customHeight="1">
      <c r="A28" s="2" t="s">
        <v>390</v>
      </c>
      <c r="B28" s="2" t="s">
        <v>909</v>
      </c>
      <c r="C28" s="2" t="s">
        <v>910</v>
      </c>
      <c r="D28" s="2" t="s">
        <v>911</v>
      </c>
      <c r="E28" s="2" t="s">
        <v>912</v>
      </c>
      <c r="F28" s="2" t="s">
        <v>562</v>
      </c>
      <c r="G28" s="2" t="s">
        <v>607</v>
      </c>
      <c r="H28" s="2" t="s">
        <v>913</v>
      </c>
      <c r="I28" s="2" t="s">
        <v>914</v>
      </c>
      <c r="J28" s="2" t="s">
        <v>915</v>
      </c>
      <c r="K28" s="2" t="s">
        <v>916</v>
      </c>
      <c r="L28" s="2" t="s">
        <v>568</v>
      </c>
      <c r="M28" s="2" t="s">
        <v>917</v>
      </c>
      <c r="N28" s="2" t="s">
        <v>570</v>
      </c>
      <c r="O28" s="2" t="s">
        <v>571</v>
      </c>
      <c r="P28" s="2" t="s">
        <v>918</v>
      </c>
      <c r="Q28" s="2" t="s">
        <v>919</v>
      </c>
      <c r="R28" s="2" t="s">
        <v>909</v>
      </c>
      <c r="S28" s="2" t="s">
        <v>574</v>
      </c>
      <c r="T28" s="2" t="s">
        <v>393</v>
      </c>
      <c r="U28" s="2">
        <v>254.0</v>
      </c>
      <c r="V28" s="38">
        <v>45696.0</v>
      </c>
      <c r="W28" s="2" t="s">
        <v>391</v>
      </c>
      <c r="X28" s="2" t="s">
        <v>179</v>
      </c>
      <c r="Y28" s="2" t="s">
        <v>180</v>
      </c>
      <c r="Z28" s="2" t="s">
        <v>394</v>
      </c>
      <c r="AA28" s="2" t="s">
        <v>392</v>
      </c>
    </row>
    <row r="29" ht="42.0" customHeight="1">
      <c r="A29" s="2" t="s">
        <v>435</v>
      </c>
      <c r="B29" s="2" t="s">
        <v>920</v>
      </c>
      <c r="C29" s="2" t="s">
        <v>921</v>
      </c>
      <c r="D29" s="2" t="s">
        <v>922</v>
      </c>
      <c r="E29" s="2" t="s">
        <v>923</v>
      </c>
      <c r="F29" s="2" t="s">
        <v>924</v>
      </c>
      <c r="G29" s="2" t="s">
        <v>925</v>
      </c>
      <c r="H29" s="2" t="s">
        <v>926</v>
      </c>
      <c r="I29" s="2" t="s">
        <v>927</v>
      </c>
      <c r="J29" s="2" t="s">
        <v>928</v>
      </c>
      <c r="K29" s="2" t="s">
        <v>929</v>
      </c>
      <c r="L29" s="2" t="s">
        <v>930</v>
      </c>
      <c r="M29" s="2" t="s">
        <v>931</v>
      </c>
      <c r="N29" s="2" t="s">
        <v>570</v>
      </c>
      <c r="O29" s="2" t="s">
        <v>571</v>
      </c>
      <c r="P29" s="2" t="s">
        <v>932</v>
      </c>
      <c r="Q29" s="2" t="s">
        <v>933</v>
      </c>
      <c r="R29" s="2" t="s">
        <v>920</v>
      </c>
      <c r="S29" s="2" t="s">
        <v>574</v>
      </c>
      <c r="T29" s="2" t="s">
        <v>438</v>
      </c>
      <c r="U29" s="2">
        <v>229.0</v>
      </c>
      <c r="V29" s="38">
        <v>45638.0</v>
      </c>
      <c r="W29" s="2" t="s">
        <v>436</v>
      </c>
      <c r="X29" s="2" t="s">
        <v>224</v>
      </c>
      <c r="Y29" s="2" t="s">
        <v>225</v>
      </c>
      <c r="Z29" s="2" t="s">
        <v>439</v>
      </c>
      <c r="AA29" s="2" t="s">
        <v>437</v>
      </c>
    </row>
    <row r="30" ht="42.0" customHeight="1">
      <c r="A30" s="2" t="s">
        <v>485</v>
      </c>
      <c r="B30" s="2" t="s">
        <v>934</v>
      </c>
      <c r="C30" s="2" t="s">
        <v>935</v>
      </c>
      <c r="D30" s="2" t="s">
        <v>936</v>
      </c>
      <c r="E30" s="2" t="s">
        <v>937</v>
      </c>
      <c r="F30" s="2" t="s">
        <v>938</v>
      </c>
      <c r="G30" s="2" t="s">
        <v>939</v>
      </c>
      <c r="H30" s="2" t="s">
        <v>940</v>
      </c>
      <c r="I30" s="2" t="s">
        <v>941</v>
      </c>
      <c r="J30" s="2" t="s">
        <v>942</v>
      </c>
      <c r="K30" s="2" t="s">
        <v>943</v>
      </c>
      <c r="L30" s="2" t="s">
        <v>944</v>
      </c>
      <c r="M30" s="2" t="s">
        <v>945</v>
      </c>
      <c r="N30" s="2" t="s">
        <v>570</v>
      </c>
      <c r="O30" s="2" t="s">
        <v>571</v>
      </c>
      <c r="P30" s="2" t="s">
        <v>946</v>
      </c>
      <c r="Q30" s="2" t="s">
        <v>947</v>
      </c>
      <c r="R30" s="2" t="s">
        <v>948</v>
      </c>
      <c r="S30" s="2" t="s">
        <v>644</v>
      </c>
      <c r="T30" s="2" t="s">
        <v>488</v>
      </c>
      <c r="U30" s="2">
        <v>336.0</v>
      </c>
      <c r="V30" s="38">
        <v>45710.0</v>
      </c>
      <c r="W30" s="2" t="s">
        <v>486</v>
      </c>
      <c r="X30" s="2" t="s">
        <v>274</v>
      </c>
      <c r="Y30" s="2" t="s">
        <v>275</v>
      </c>
      <c r="Z30" s="2" t="s">
        <v>489</v>
      </c>
      <c r="AA30" s="2" t="s">
        <v>487</v>
      </c>
    </row>
    <row r="31" ht="42.0" customHeight="1">
      <c r="A31" s="2" t="s">
        <v>500</v>
      </c>
      <c r="B31" s="2" t="s">
        <v>949</v>
      </c>
      <c r="C31" s="2" t="s">
        <v>950</v>
      </c>
      <c r="D31" s="2" t="s">
        <v>951</v>
      </c>
      <c r="E31" s="2" t="s">
        <v>952</v>
      </c>
      <c r="F31" s="2" t="s">
        <v>938</v>
      </c>
      <c r="G31" s="2" t="s">
        <v>939</v>
      </c>
      <c r="H31" s="2" t="s">
        <v>953</v>
      </c>
      <c r="I31" s="2" t="s">
        <v>954</v>
      </c>
      <c r="J31" s="2" t="s">
        <v>955</v>
      </c>
      <c r="K31" s="2" t="s">
        <v>956</v>
      </c>
      <c r="L31" s="2" t="s">
        <v>944</v>
      </c>
      <c r="M31" s="2" t="s">
        <v>957</v>
      </c>
      <c r="N31" s="2" t="s">
        <v>570</v>
      </c>
      <c r="O31" s="2" t="s">
        <v>571</v>
      </c>
      <c r="P31" s="2" t="s">
        <v>958</v>
      </c>
      <c r="Q31" s="2" t="s">
        <v>959</v>
      </c>
      <c r="R31" s="2" t="s">
        <v>949</v>
      </c>
      <c r="S31" s="2" t="s">
        <v>574</v>
      </c>
      <c r="T31" s="2" t="s">
        <v>503</v>
      </c>
      <c r="U31" s="2">
        <v>295.0</v>
      </c>
      <c r="V31" s="38">
        <v>45710.0</v>
      </c>
      <c r="W31" s="2" t="s">
        <v>501</v>
      </c>
      <c r="X31" s="2" t="s">
        <v>289</v>
      </c>
      <c r="Y31" s="2" t="s">
        <v>290</v>
      </c>
      <c r="Z31" s="2" t="s">
        <v>504</v>
      </c>
      <c r="AA31" s="2" t="s">
        <v>502</v>
      </c>
    </row>
    <row r="32" ht="42.0" customHeight="1">
      <c r="A32" s="2" t="s">
        <v>505</v>
      </c>
      <c r="B32" s="2" t="s">
        <v>960</v>
      </c>
      <c r="C32" s="2" t="s">
        <v>961</v>
      </c>
      <c r="D32" s="2" t="s">
        <v>962</v>
      </c>
      <c r="E32" s="2" t="s">
        <v>963</v>
      </c>
      <c r="F32" s="2" t="s">
        <v>964</v>
      </c>
      <c r="G32" s="2" t="s">
        <v>965</v>
      </c>
      <c r="H32" s="2" t="s">
        <v>966</v>
      </c>
      <c r="I32" s="2" t="s">
        <v>967</v>
      </c>
      <c r="J32" s="2" t="s">
        <v>968</v>
      </c>
      <c r="K32" s="2" t="s">
        <v>969</v>
      </c>
      <c r="L32" s="2" t="s">
        <v>970</v>
      </c>
      <c r="M32" s="2" t="s">
        <v>971</v>
      </c>
      <c r="N32" s="2" t="s">
        <v>570</v>
      </c>
      <c r="O32" s="2" t="s">
        <v>571</v>
      </c>
      <c r="P32" s="2" t="s">
        <v>972</v>
      </c>
      <c r="Q32" s="2" t="s">
        <v>973</v>
      </c>
      <c r="R32" s="2" t="s">
        <v>960</v>
      </c>
      <c r="S32" s="2" t="s">
        <v>574</v>
      </c>
      <c r="T32" s="2" t="s">
        <v>508</v>
      </c>
      <c r="U32" s="2">
        <v>302.0</v>
      </c>
      <c r="V32" s="38">
        <v>45710.0</v>
      </c>
      <c r="W32" s="2" t="s">
        <v>506</v>
      </c>
      <c r="X32" s="2" t="s">
        <v>294</v>
      </c>
      <c r="Y32" s="2" t="s">
        <v>295</v>
      </c>
      <c r="Z32" s="2" t="s">
        <v>509</v>
      </c>
      <c r="AA32" s="2" t="s">
        <v>507</v>
      </c>
    </row>
    <row r="33" ht="42.0" customHeight="1">
      <c r="A33" s="2" t="s">
        <v>535</v>
      </c>
      <c r="B33" s="2" t="s">
        <v>974</v>
      </c>
      <c r="C33" s="2" t="s">
        <v>975</v>
      </c>
      <c r="D33" s="2" t="s">
        <v>976</v>
      </c>
      <c r="E33" s="2" t="s">
        <v>977</v>
      </c>
      <c r="F33" s="2" t="s">
        <v>753</v>
      </c>
      <c r="G33" s="2" t="s">
        <v>978</v>
      </c>
      <c r="H33" s="2" t="s">
        <v>979</v>
      </c>
      <c r="I33" s="2" t="s">
        <v>980</v>
      </c>
      <c r="J33" s="2" t="s">
        <v>981</v>
      </c>
      <c r="K33" s="2" t="s">
        <v>982</v>
      </c>
      <c r="L33" s="2" t="s">
        <v>983</v>
      </c>
      <c r="M33" s="2" t="s">
        <v>984</v>
      </c>
      <c r="N33" s="2" t="s">
        <v>570</v>
      </c>
      <c r="O33" s="2" t="s">
        <v>571</v>
      </c>
      <c r="P33" s="2" t="s">
        <v>985</v>
      </c>
      <c r="Q33" s="2" t="s">
        <v>986</v>
      </c>
      <c r="R33" s="2" t="s">
        <v>974</v>
      </c>
      <c r="S33" s="2" t="s">
        <v>574</v>
      </c>
      <c r="T33" s="2" t="s">
        <v>538</v>
      </c>
      <c r="U33" s="2">
        <v>327.0</v>
      </c>
      <c r="V33" s="38">
        <v>45709.0</v>
      </c>
      <c r="W33" s="2" t="s">
        <v>536</v>
      </c>
      <c r="X33" s="2" t="s">
        <v>324</v>
      </c>
      <c r="Y33" s="2" t="s">
        <v>325</v>
      </c>
      <c r="Z33" s="2" t="s">
        <v>539</v>
      </c>
      <c r="AA33" s="2" t="s">
        <v>537</v>
      </c>
    </row>
    <row r="34" ht="42.0" customHeight="1">
      <c r="A34" s="2" t="s">
        <v>455</v>
      </c>
      <c r="B34" s="2" t="s">
        <v>987</v>
      </c>
      <c r="C34" s="2" t="s">
        <v>988</v>
      </c>
      <c r="D34" s="2" t="s">
        <v>989</v>
      </c>
      <c r="E34" s="2" t="s">
        <v>990</v>
      </c>
      <c r="F34" s="2" t="s">
        <v>991</v>
      </c>
      <c r="G34" s="2" t="s">
        <v>992</v>
      </c>
      <c r="H34" s="2" t="s">
        <v>993</v>
      </c>
      <c r="I34" s="2" t="s">
        <v>994</v>
      </c>
      <c r="J34" s="2" t="s">
        <v>995</v>
      </c>
      <c r="K34" s="2" t="s">
        <v>996</v>
      </c>
      <c r="L34" s="2" t="s">
        <v>997</v>
      </c>
      <c r="M34" s="2" t="s">
        <v>998</v>
      </c>
      <c r="N34" s="2" t="s">
        <v>570</v>
      </c>
      <c r="O34" s="2" t="s">
        <v>571</v>
      </c>
      <c r="P34" s="2" t="s">
        <v>999</v>
      </c>
      <c r="Q34" s="2" t="s">
        <v>1000</v>
      </c>
      <c r="R34" s="2" t="s">
        <v>987</v>
      </c>
      <c r="S34" s="2" t="s">
        <v>574</v>
      </c>
      <c r="T34" s="2" t="s">
        <v>458</v>
      </c>
      <c r="U34" s="2">
        <v>350.0</v>
      </c>
      <c r="V34" s="38">
        <v>45709.0</v>
      </c>
      <c r="W34" s="2" t="s">
        <v>456</v>
      </c>
      <c r="X34" s="2" t="s">
        <v>244</v>
      </c>
      <c r="Y34" s="2" t="s">
        <v>245</v>
      </c>
      <c r="Z34" s="2" t="s">
        <v>459</v>
      </c>
      <c r="AA34" s="2" t="s">
        <v>457</v>
      </c>
    </row>
    <row r="35" ht="42.0" customHeight="1">
      <c r="A35" s="2" t="s">
        <v>475</v>
      </c>
      <c r="B35" s="2" t="s">
        <v>1001</v>
      </c>
      <c r="C35" s="2" t="s">
        <v>1002</v>
      </c>
      <c r="D35" s="2" t="s">
        <v>1003</v>
      </c>
      <c r="E35" s="2" t="s">
        <v>1004</v>
      </c>
      <c r="F35" s="2" t="s">
        <v>1005</v>
      </c>
      <c r="G35" s="2" t="s">
        <v>1006</v>
      </c>
      <c r="H35" s="2" t="s">
        <v>1007</v>
      </c>
      <c r="I35" s="2" t="s">
        <v>1008</v>
      </c>
      <c r="J35" s="2" t="s">
        <v>1009</v>
      </c>
      <c r="K35" s="2" t="s">
        <v>1010</v>
      </c>
      <c r="L35" s="2" t="s">
        <v>1011</v>
      </c>
      <c r="M35" s="2" t="s">
        <v>1012</v>
      </c>
      <c r="N35" s="2" t="s">
        <v>570</v>
      </c>
      <c r="O35" s="2" t="s">
        <v>571</v>
      </c>
      <c r="P35" s="2" t="s">
        <v>1013</v>
      </c>
      <c r="Q35" s="2" t="s">
        <v>1014</v>
      </c>
      <c r="R35" s="2" t="s">
        <v>1001</v>
      </c>
      <c r="S35" s="2" t="s">
        <v>574</v>
      </c>
      <c r="T35" s="2" t="s">
        <v>478</v>
      </c>
      <c r="U35" s="2">
        <v>334.0</v>
      </c>
      <c r="V35" s="38">
        <v>45709.0</v>
      </c>
      <c r="W35" s="2" t="s">
        <v>476</v>
      </c>
      <c r="X35" s="2" t="s">
        <v>264</v>
      </c>
      <c r="Y35" s="2" t="s">
        <v>265</v>
      </c>
      <c r="Z35" s="2" t="s">
        <v>479</v>
      </c>
      <c r="AA35" s="2" t="s">
        <v>477</v>
      </c>
    </row>
    <row r="36" ht="42.0" customHeight="1">
      <c r="A36" s="2" t="s">
        <v>495</v>
      </c>
      <c r="B36" s="2" t="s">
        <v>1015</v>
      </c>
      <c r="C36" s="2" t="s">
        <v>1016</v>
      </c>
      <c r="D36" s="2" t="s">
        <v>1017</v>
      </c>
      <c r="E36" s="2" t="s">
        <v>1018</v>
      </c>
      <c r="F36" s="2" t="s">
        <v>1005</v>
      </c>
      <c r="G36" s="2" t="s">
        <v>1006</v>
      </c>
      <c r="H36" s="2" t="s">
        <v>1019</v>
      </c>
      <c r="I36" s="2" t="s">
        <v>1020</v>
      </c>
      <c r="J36" s="2" t="s">
        <v>1021</v>
      </c>
      <c r="K36" s="2" t="s">
        <v>1022</v>
      </c>
      <c r="L36" s="2" t="s">
        <v>1011</v>
      </c>
      <c r="M36" s="2" t="s">
        <v>1023</v>
      </c>
      <c r="N36" s="2" t="s">
        <v>570</v>
      </c>
      <c r="O36" s="2" t="s">
        <v>571</v>
      </c>
      <c r="P36" s="2" t="s">
        <v>1024</v>
      </c>
      <c r="Q36" s="2" t="s">
        <v>1025</v>
      </c>
      <c r="R36" s="2" t="s">
        <v>1015</v>
      </c>
      <c r="S36" s="2" t="s">
        <v>574</v>
      </c>
      <c r="T36" s="2" t="s">
        <v>498</v>
      </c>
      <c r="U36" s="2">
        <v>334.0</v>
      </c>
      <c r="V36" s="38">
        <v>45708.0</v>
      </c>
      <c r="W36" s="2" t="s">
        <v>496</v>
      </c>
      <c r="X36" s="2" t="s">
        <v>284</v>
      </c>
      <c r="Y36" s="2" t="s">
        <v>285</v>
      </c>
      <c r="Z36" s="2" t="s">
        <v>499</v>
      </c>
      <c r="AA36" s="2" t="s">
        <v>497</v>
      </c>
    </row>
    <row r="37" ht="42.0" customHeight="1">
      <c r="A37" s="2" t="s">
        <v>480</v>
      </c>
      <c r="B37" s="2" t="s">
        <v>1026</v>
      </c>
      <c r="C37" s="2" t="s">
        <v>1027</v>
      </c>
      <c r="D37" s="2" t="s">
        <v>1028</v>
      </c>
      <c r="E37" s="2" t="s">
        <v>1029</v>
      </c>
      <c r="F37" s="2" t="s">
        <v>1030</v>
      </c>
      <c r="G37" s="2" t="s">
        <v>1031</v>
      </c>
      <c r="H37" s="2" t="s">
        <v>1032</v>
      </c>
      <c r="I37" s="2" t="s">
        <v>1033</v>
      </c>
      <c r="J37" s="2" t="s">
        <v>1034</v>
      </c>
      <c r="K37" s="2" t="s">
        <v>1035</v>
      </c>
      <c r="L37" s="2" t="s">
        <v>1036</v>
      </c>
      <c r="M37" s="2" t="s">
        <v>1037</v>
      </c>
      <c r="N37" s="2" t="s">
        <v>570</v>
      </c>
      <c r="O37" s="2" t="s">
        <v>571</v>
      </c>
      <c r="P37" s="2" t="s">
        <v>1038</v>
      </c>
      <c r="Q37" s="2" t="s">
        <v>1039</v>
      </c>
      <c r="R37" s="2" t="s">
        <v>1026</v>
      </c>
      <c r="S37" s="2" t="s">
        <v>574</v>
      </c>
      <c r="T37" s="2" t="s">
        <v>483</v>
      </c>
      <c r="U37" s="2">
        <v>344.0</v>
      </c>
      <c r="V37" s="38">
        <v>45708.0</v>
      </c>
      <c r="W37" s="2" t="s">
        <v>481</v>
      </c>
      <c r="X37" s="2" t="s">
        <v>269</v>
      </c>
      <c r="Y37" s="2" t="s">
        <v>270</v>
      </c>
      <c r="Z37" s="2" t="s">
        <v>484</v>
      </c>
      <c r="AA37" s="2" t="s">
        <v>482</v>
      </c>
    </row>
    <row r="38"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c r="AA38" s="3"/>
    </row>
    <row r="39"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c r="AA39" s="3"/>
    </row>
    <row r="40"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c r="AA40" s="3"/>
    </row>
    <row r="41"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c r="AA41" s="3"/>
    </row>
    <row r="42"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c r="AA42" s="3"/>
    </row>
    <row r="43"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c r="AA43" s="3"/>
    </row>
    <row r="44"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c r="AA44" s="3"/>
    </row>
    <row r="45"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c r="AA45" s="3"/>
    </row>
    <row r="4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c r="AA46" s="3"/>
    </row>
    <row r="47"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c r="AA47" s="3"/>
    </row>
    <row r="48"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c r="AA48" s="3"/>
    </row>
    <row r="49"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c r="AA49" s="3"/>
    </row>
    <row r="50"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c r="AA50" s="3"/>
    </row>
    <row r="51"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c r="AA51" s="3"/>
    </row>
    <row r="52"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c r="AA52" s="3"/>
    </row>
    <row r="53"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c r="AA53" s="3"/>
    </row>
    <row r="54"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c r="AA54" s="3"/>
    </row>
    <row r="55"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c r="AA55" s="3"/>
    </row>
    <row r="5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c r="AA56" s="3"/>
    </row>
    <row r="57"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c r="AA57" s="3"/>
    </row>
    <row r="58"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c r="AA58" s="3"/>
    </row>
    <row r="59"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c r="AA59" s="3"/>
    </row>
    <row r="60"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c r="AA60" s="3"/>
    </row>
    <row r="61"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c r="AA61" s="3"/>
    </row>
    <row r="62"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c r="AA62" s="3"/>
    </row>
    <row r="63"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c r="AA63" s="3"/>
    </row>
    <row r="64"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c r="AA64" s="3"/>
    </row>
    <row r="65"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c r="AA65" s="3"/>
    </row>
    <row r="6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c r="AA66" s="3"/>
    </row>
    <row r="67"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c r="AA67" s="3"/>
    </row>
    <row r="68"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c r="AA68" s="3"/>
    </row>
    <row r="69"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c r="AA69" s="3"/>
    </row>
    <row r="70"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c r="AA70" s="3"/>
    </row>
    <row r="71"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c r="AA71" s="3"/>
    </row>
    <row r="72"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c r="AA72" s="3"/>
    </row>
    <row r="73"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row>
    <row r="74"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row>
    <row r="75"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row>
    <row r="7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row>
    <row r="77"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row>
    <row r="78"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row>
    <row r="79"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row>
    <row r="80"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row>
    <row r="81"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row>
    <row r="82"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row>
    <row r="83"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row>
    <row r="84"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row>
    <row r="85"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row>
    <row r="8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row>
    <row r="87"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row>
    <row r="88"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row>
    <row r="89"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row>
    <row r="90"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row>
    <row r="91"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row>
    <row r="92"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row>
    <row r="93"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row>
    <row r="94"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row>
    <row r="95"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row>
    <row r="9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row>
    <row r="97"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row>
    <row r="98"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row>
    <row r="99"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row>
    <row r="100"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row>
    <row r="101"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row>
    <row r="102"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row>
    <row r="103"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row>
    <row r="104"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row>
    <row r="105"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row>
    <row r="10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row>
    <row r="107"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row>
    <row r="108"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row>
    <row r="109"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row>
    <row r="11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row>
    <row r="111"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row>
    <row r="112"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row>
    <row r="113"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row>
    <row r="114"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row>
    <row r="115"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row>
    <row r="11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row>
    <row r="117"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row>
    <row r="118"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row>
    <row r="119"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row>
    <row r="12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row>
    <row r="121"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row>
    <row r="122"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row>
    <row r="123"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row>
    <row r="124"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row>
    <row r="125"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row>
    <row r="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row>
    <row r="127"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row>
    <row r="128"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row>
    <row r="129"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row>
    <row r="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row>
    <row r="131"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row>
    <row r="132"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row>
    <row r="133"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row>
    <row r="134"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row>
    <row r="135"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row>
    <row r="13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row>
    <row r="137"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row>
    <row r="138"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row>
    <row r="139"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row>
    <row r="14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row>
    <row r="141"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row>
    <row r="142"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row>
    <row r="143"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row>
    <row r="144"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row>
    <row r="145"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row>
    <row r="14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row>
    <row r="147"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row>
    <row r="148"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row>
    <row r="149"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row>
    <row r="15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row>
    <row r="151"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row>
    <row r="152"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row>
    <row r="153"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row>
    <row r="154"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row>
    <row r="155"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row>
    <row r="15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row>
    <row r="157"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row>
    <row r="158"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row>
    <row r="159"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row>
    <row r="16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row>
    <row r="161"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row>
    <row r="162"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row>
    <row r="163"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row>
    <row r="164"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row>
    <row r="165"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row>
    <row r="16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row>
    <row r="167"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row>
    <row r="168"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row>
    <row r="169"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row>
    <row r="17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row>
    <row r="171"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row>
    <row r="172"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row>
    <row r="173"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row>
    <row r="174"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row>
    <row r="175"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row>
    <row r="17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row>
    <row r="177"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row>
    <row r="178"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row>
    <row r="179"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row>
    <row r="18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row>
    <row r="181"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row>
    <row r="182"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row>
    <row r="183"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row>
    <row r="184"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row>
    <row r="185"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row>
    <row r="18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row>
    <row r="187"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row>
    <row r="188"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row>
    <row r="189"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row>
    <row r="19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row>
    <row r="191"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row>
    <row r="192"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row>
    <row r="193"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row>
    <row r="194"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row>
    <row r="195"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row>
    <row r="19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row>
    <row r="197"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row>
    <row r="198"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row>
    <row r="199"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row>
    <row r="20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row>
    <row r="201"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row>
    <row r="202"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row>
    <row r="203"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row>
    <row r="204"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row>
    <row r="205"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row>
    <row r="20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row>
    <row r="207"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row>
    <row r="208"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row>
    <row r="209"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row>
    <row r="21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row>
    <row r="211"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row>
    <row r="212"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row>
    <row r="213"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row>
    <row r="214"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row>
    <row r="215"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row>
    <row r="21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row>
    <row r="217"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row>
    <row r="218"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row>
    <row r="219"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row>
    <row r="22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row>
    <row r="221"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row>
    <row r="222"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row>
    <row r="223"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row>
    <row r="224"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row>
    <row r="225"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row>
    <row r="2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row>
    <row r="227"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row>
    <row r="228"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row>
    <row r="229"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row>
    <row r="2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row>
    <row r="231"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row>
    <row r="232"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row>
    <row r="233"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row>
    <row r="234"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row>
    <row r="235"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row>
    <row r="23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row>
    <row r="237"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row>
    <row r="238"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row>
    <row r="239"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row>
    <row r="24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row>
    <row r="241"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row>
    <row r="242"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row>
    <row r="243"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row>
    <row r="244"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row>
    <row r="245"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row>
    <row r="24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row>
    <row r="247"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row>
    <row r="248"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row>
    <row r="249"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row>
    <row r="25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row>
    <row r="251"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row>
    <row r="252"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row>
    <row r="253"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row>
    <row r="254"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row>
    <row r="255"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row>
    <row r="25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row>
    <row r="257"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row>
    <row r="258"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row>
    <row r="259"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row>
    <row r="26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row>
    <row r="261"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row>
    <row r="262"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row>
    <row r="263"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row>
    <row r="264"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row>
    <row r="265"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row>
    <row r="26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row>
    <row r="267"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row>
    <row r="268"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row>
    <row r="269"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row>
    <row r="27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row>
    <row r="271"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row>
    <row r="272"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row>
    <row r="273"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row>
    <row r="274"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row>
    <row r="275"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row>
    <row r="27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row>
    <row r="277"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row>
    <row r="278"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row>
    <row r="279"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row>
    <row r="28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row>
    <row r="281"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row>
    <row r="282"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row>
    <row r="283"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row>
    <row r="284"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row>
    <row r="285"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row>
    <row r="28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row>
    <row r="287"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row>
    <row r="288"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row>
    <row r="289"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row>
    <row r="29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row>
    <row r="291"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row>
    <row r="292"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row>
    <row r="293"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row>
    <row r="294"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row>
    <row r="295"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row>
    <row r="29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row>
    <row r="297"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row>
    <row r="298"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row>
    <row r="299"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row>
    <row r="30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row>
    <row r="301"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row>
    <row r="302"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row>
    <row r="303"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row>
    <row r="304"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row>
    <row r="305"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row>
    <row r="30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row>
    <row r="307"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row>
    <row r="308"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row>
    <row r="309"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row>
    <row r="31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row>
    <row r="311"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row>
    <row r="312"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row>
    <row r="313"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row>
    <row r="314"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row>
    <row r="315"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row>
    <row r="31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row>
    <row r="317"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row>
    <row r="318"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row>
    <row r="319"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row>
    <row r="32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row>
    <row r="321"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row>
    <row r="322"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row>
    <row r="323"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row>
    <row r="324"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row>
    <row r="325"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row>
    <row r="3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row>
    <row r="327"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row>
    <row r="328"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row>
    <row r="329"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row>
    <row r="3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row>
    <row r="331"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row>
    <row r="332"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row>
    <row r="333"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row>
    <row r="334"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row>
    <row r="335"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row>
    <row r="33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row>
    <row r="337"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row>
    <row r="338"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row>
    <row r="339"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row>
    <row r="34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row>
    <row r="341"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row>
    <row r="342"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row>
    <row r="343"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row>
    <row r="344"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row>
    <row r="345"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row>
    <row r="34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row>
    <row r="347"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row>
    <row r="348"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row>
    <row r="349"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row>
    <row r="35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row>
    <row r="351"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row>
    <row r="352"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row>
    <row r="353"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row>
    <row r="354"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row>
    <row r="355"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row>
    <row r="35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row>
    <row r="357"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row>
    <row r="358"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row>
    <row r="359"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row>
    <row r="36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row>
    <row r="361"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row>
    <row r="362"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row>
    <row r="363"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row>
    <row r="364"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row>
    <row r="365"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row>
    <row r="36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row>
    <row r="367"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row>
    <row r="368"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row>
    <row r="369"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row>
    <row r="37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row>
    <row r="371"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row>
    <row r="372"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row>
    <row r="373"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row>
    <row r="374"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row>
    <row r="375"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row>
    <row r="37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row>
    <row r="377"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row>
    <row r="378"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row>
    <row r="379"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row>
    <row r="38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row>
    <row r="381"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row>
    <row r="382"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row>
    <row r="383"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row>
    <row r="384"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row>
    <row r="385"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row>
    <row r="38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row>
    <row r="387"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row>
    <row r="388"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row>
    <row r="389"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row>
    <row r="39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row>
    <row r="391"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row>
    <row r="392"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row>
    <row r="393"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row>
    <row r="394"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row>
    <row r="395"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row>
    <row r="39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row>
    <row r="397"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row>
    <row r="398"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row>
    <row r="399"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row>
    <row r="40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row>
    <row r="401"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row>
    <row r="402"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row>
    <row r="403"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row>
    <row r="404"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row>
    <row r="405"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row>
    <row r="40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row>
    <row r="407"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row>
    <row r="408"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row>
    <row r="409"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row>
    <row r="41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row>
    <row r="411"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row>
    <row r="412"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row>
    <row r="413"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row>
    <row r="414"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row>
    <row r="415"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row>
    <row r="41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row>
    <row r="417"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row>
    <row r="418"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row>
    <row r="419"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row>
    <row r="42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row>
    <row r="421"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row>
    <row r="422"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row>
    <row r="423"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row>
    <row r="424"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row>
    <row r="425"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row>
    <row r="4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row>
    <row r="427"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row>
    <row r="428"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row>
    <row r="429"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row>
    <row r="4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row>
    <row r="431"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row>
    <row r="432"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row>
    <row r="433"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row>
    <row r="434"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row>
    <row r="435"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row>
    <row r="43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row>
    <row r="437"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row>
    <row r="438"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row>
    <row r="439"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row>
    <row r="44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row>
    <row r="441"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row>
    <row r="442"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row>
    <row r="443"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row>
    <row r="444"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row>
    <row r="445"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row>
    <row r="44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row>
    <row r="447"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row>
    <row r="448"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row>
    <row r="449"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row>
    <row r="45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row>
    <row r="451"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row>
    <row r="452"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row>
    <row r="453"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row>
    <row r="454"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row>
    <row r="455"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row>
    <row r="45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row>
    <row r="457"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row>
    <row r="458"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row>
    <row r="459"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row>
    <row r="46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row>
    <row r="461"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row>
    <row r="462"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row>
    <row r="463"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row>
    <row r="464"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row>
    <row r="465"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row>
    <row r="46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row>
    <row r="467"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row>
    <row r="468"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row>
    <row r="469"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row>
    <row r="47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row>
    <row r="471"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row>
    <row r="472"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row>
    <row r="473"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row>
    <row r="474"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row>
    <row r="475"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row>
    <row r="47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row>
    <row r="477"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row>
    <row r="478"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row>
    <row r="479"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row>
    <row r="48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row>
    <row r="481"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row>
    <row r="482"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row>
    <row r="483"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row>
    <row r="484"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row>
    <row r="485"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row>
    <row r="48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row>
    <row r="487"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row>
    <row r="488"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row>
    <row r="489"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row>
    <row r="49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row>
    <row r="491"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row>
    <row r="492"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row>
    <row r="493"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row>
    <row r="494"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row>
    <row r="495"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row>
    <row r="49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row>
    <row r="497"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row>
    <row r="498"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row>
    <row r="499"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row>
    <row r="50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row>
    <row r="501"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row>
    <row r="502"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row>
    <row r="503"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row>
    <row r="504"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row>
    <row r="505"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row>
    <row r="50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row>
    <row r="507"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row>
    <row r="508"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row>
    <row r="509"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row>
    <row r="51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row>
    <row r="511"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row>
    <row r="512"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row>
    <row r="513"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row>
    <row r="514"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row>
    <row r="515"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row>
    <row r="51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row>
    <row r="517"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row>
    <row r="518"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row>
    <row r="519"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row>
    <row r="52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row>
    <row r="521"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row>
    <row r="522"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row>
    <row r="523"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row>
    <row r="524"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row>
    <row r="525"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row>
    <row r="5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row>
    <row r="527"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row>
    <row r="528"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row>
    <row r="529"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row>
    <row r="5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row>
    <row r="531"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row>
    <row r="532"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row>
    <row r="533"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row>
    <row r="534"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row>
    <row r="535"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row>
    <row r="53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row>
    <row r="537"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row>
    <row r="538"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row>
    <row r="539"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row>
    <row r="54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row>
    <row r="541"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row>
    <row r="542"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row>
    <row r="543"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row>
    <row r="544"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row>
    <row r="545"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row>
    <row r="54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row>
    <row r="547"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row>
    <row r="548"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row>
    <row r="549"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row>
    <row r="55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row>
    <row r="551"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row>
    <row r="552"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row>
    <row r="553"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row>
    <row r="554"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row>
    <row r="555"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row>
    <row r="55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row>
    <row r="557"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row>
    <row r="558"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row>
    <row r="559"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row>
    <row r="56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row>
    <row r="561"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row>
    <row r="562"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row>
    <row r="563"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row>
    <row r="564"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row>
    <row r="565"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row>
    <row r="56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row>
    <row r="567"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row>
    <row r="568"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row>
    <row r="569"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row>
    <row r="57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row>
    <row r="571"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row>
    <row r="572"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row>
    <row r="573"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row>
    <row r="574"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row>
    <row r="575"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row>
    <row r="57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row>
    <row r="577"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row>
    <row r="578"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row>
    <row r="579"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row>
    <row r="58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row>
    <row r="581"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row>
    <row r="582"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row>
    <row r="583"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row>
    <row r="584"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row>
    <row r="585"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row>
    <row r="58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row>
    <row r="587"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row>
    <row r="588"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row>
    <row r="589"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row>
    <row r="59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row>
    <row r="591"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row>
    <row r="592"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row>
    <row r="593"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row>
    <row r="594"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row>
    <row r="595"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row>
    <row r="59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row>
    <row r="597"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row>
    <row r="598"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row>
    <row r="599"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row>
    <row r="60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row>
    <row r="601"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row>
    <row r="602"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row>
    <row r="603"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row>
    <row r="604"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row>
    <row r="605"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row>
    <row r="60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row>
    <row r="607"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row>
    <row r="608"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row>
    <row r="609"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row>
    <row r="61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row>
    <row r="611"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row>
    <row r="612"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row>
    <row r="613"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row>
    <row r="614"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row>
    <row r="615"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row>
    <row r="61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row>
    <row r="617"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row>
    <row r="618"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row>
    <row r="619"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row>
    <row r="62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row>
    <row r="621"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row>
    <row r="622"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row>
    <row r="623"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row>
    <row r="624"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row>
    <row r="625"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row>
    <row r="6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row>
    <row r="627"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row>
    <row r="628"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row>
    <row r="629"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row>
    <row r="6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row>
    <row r="631"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row>
    <row r="632"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row>
    <row r="633"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row>
    <row r="634"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row>
    <row r="635"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row>
    <row r="63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row>
    <row r="637"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row>
    <row r="638"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row>
    <row r="639"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row>
    <row r="64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row>
    <row r="641"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row>
    <row r="642"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row>
    <row r="643"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row>
    <row r="644"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row>
    <row r="645"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row>
    <row r="64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row>
    <row r="647"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row>
    <row r="648"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row>
    <row r="649"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row>
    <row r="65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row>
    <row r="651"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row>
    <row r="652"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row>
    <row r="653"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row>
    <row r="654"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row>
    <row r="655"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row>
    <row r="65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row>
    <row r="657"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row>
    <row r="658"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row>
    <row r="659"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row>
    <row r="66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row>
    <row r="661"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row>
    <row r="662"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row>
    <row r="663"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row>
    <row r="664"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row>
    <row r="665"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row>
    <row r="66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row>
    <row r="667"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row>
    <row r="668"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row>
    <row r="669"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row>
    <row r="67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row>
    <row r="671"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row>
    <row r="672"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row>
    <row r="673"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row>
    <row r="674"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row>
    <row r="675"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row>
    <row r="67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row>
    <row r="677"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row>
    <row r="678"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row>
    <row r="679"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row>
    <row r="68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row>
    <row r="681"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row>
    <row r="682"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row>
    <row r="683"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row>
    <row r="684"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row>
    <row r="685"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row>
    <row r="68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row>
    <row r="687"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row>
    <row r="688"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row>
    <row r="689"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row>
    <row r="69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row>
    <row r="691"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row>
    <row r="692"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row>
    <row r="693"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row>
    <row r="694"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row>
    <row r="695"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row>
    <row r="69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row>
    <row r="697"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row>
    <row r="698"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row>
    <row r="699"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row>
    <row r="70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row>
    <row r="701"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row>
    <row r="702"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row>
    <row r="703"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row>
    <row r="704"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row>
    <row r="705"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row>
    <row r="70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row>
    <row r="707"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row>
    <row r="708"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row>
    <row r="709"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row>
    <row r="71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row>
    <row r="711"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row>
    <row r="712"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row>
    <row r="713"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row>
    <row r="714"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row>
    <row r="715"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row>
    <row r="71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row>
    <row r="717"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row>
    <row r="718"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row>
    <row r="719"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row>
    <row r="72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row>
    <row r="721"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row>
    <row r="722"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row>
    <row r="723"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row>
    <row r="724"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row>
    <row r="725"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row>
    <row r="7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row>
    <row r="727"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row>
    <row r="728"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row>
    <row r="729"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row>
    <row r="7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row>
    <row r="731"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row>
    <row r="732"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row>
    <row r="733"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row>
    <row r="734"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row>
    <row r="735"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row>
    <row r="73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row>
    <row r="737"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row>
    <row r="738"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row>
    <row r="739"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row>
    <row r="74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row>
    <row r="741"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row>
    <row r="742"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row>
    <row r="743"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row>
    <row r="744"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row>
    <row r="745"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row>
    <row r="74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row>
    <row r="747"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row>
    <row r="748"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row>
    <row r="749"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row>
    <row r="75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row>
    <row r="751"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row>
    <row r="752"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row>
    <row r="753"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row>
    <row r="754"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row>
    <row r="755"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row>
    <row r="75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row>
    <row r="757"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row>
    <row r="758"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row>
    <row r="759"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row>
    <row r="76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row>
    <row r="761"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row>
    <row r="762"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row>
    <row r="763"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row>
    <row r="764"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row>
    <row r="765"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row>
    <row r="76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row>
    <row r="767"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row>
    <row r="768"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row>
    <row r="769"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row>
    <row r="77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row>
    <row r="771"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row>
    <row r="772"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row>
    <row r="773"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row>
    <row r="774"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row>
    <row r="775"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row>
    <row r="77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row>
    <row r="777"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row>
    <row r="778"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row>
    <row r="779"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row>
    <row r="78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row>
    <row r="781"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row>
    <row r="782"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row>
    <row r="783"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row>
    <row r="784"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row>
    <row r="785"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row>
    <row r="78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row>
    <row r="787"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row>
    <row r="788"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row>
    <row r="789"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row>
    <row r="79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row>
    <row r="791"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row>
    <row r="792"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row>
    <row r="793"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row>
    <row r="794"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row>
    <row r="795"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row>
    <row r="79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row>
    <row r="797"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row>
    <row r="798"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row>
    <row r="799"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row>
    <row r="80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row>
    <row r="801"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row>
    <row r="802"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row>
    <row r="803"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row>
    <row r="804"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row>
    <row r="805"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row>
    <row r="80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row>
    <row r="807"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row>
    <row r="808"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row>
    <row r="809"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row>
    <row r="81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row>
    <row r="811"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row>
    <row r="812"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row>
    <row r="813"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row>
    <row r="814"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row>
    <row r="815"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row>
    <row r="81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row>
    <row r="817"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row>
    <row r="818"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row>
    <row r="819"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row>
    <row r="82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row>
    <row r="821"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row>
    <row r="822"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row>
    <row r="823"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row>
    <row r="824"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row>
    <row r="825"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row>
    <row r="8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row>
    <row r="827"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row>
    <row r="828"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row>
    <row r="829"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row>
    <row r="8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row>
    <row r="831"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row>
    <row r="832"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row>
    <row r="833"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row>
    <row r="834"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row>
    <row r="835"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row>
    <row r="83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row>
    <row r="837"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row>
    <row r="838"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row>
    <row r="839"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row>
    <row r="84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row>
    <row r="841"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row>
    <row r="842"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row>
    <row r="843"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row>
    <row r="844"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row>
    <row r="845"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row>
    <row r="84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row>
    <row r="847"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row>
    <row r="848"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row>
    <row r="849"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row>
    <row r="85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row>
    <row r="851"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row>
    <row r="852"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row>
    <row r="853"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row>
    <row r="854"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row>
    <row r="855"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row>
    <row r="85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row>
    <row r="857"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row>
    <row r="858"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row>
    <row r="859"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row>
    <row r="86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row>
    <row r="861"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row>
    <row r="862"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row>
    <row r="863"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row>
    <row r="864"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row>
    <row r="865"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row>
    <row r="86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row>
    <row r="867"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row>
    <row r="868"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row>
    <row r="869"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row>
    <row r="87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row>
    <row r="871"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row>
    <row r="872"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row>
    <row r="873"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row>
    <row r="874"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row>
    <row r="875"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row>
    <row r="87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row>
    <row r="877"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row>
    <row r="878"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row>
    <row r="879"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row>
    <row r="88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row>
    <row r="881"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row>
    <row r="882"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row>
    <row r="883"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row>
    <row r="884"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row>
    <row r="885"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row>
    <row r="88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row>
    <row r="887"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row>
    <row r="888"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row>
    <row r="889"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row>
    <row r="89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row>
    <row r="891"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row>
    <row r="892"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row>
    <row r="893"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row>
    <row r="894"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row>
    <row r="895"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row>
    <row r="89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row>
    <row r="897"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row>
    <row r="898"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row>
    <row r="899"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row>
    <row r="90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row>
    <row r="901"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row>
    <row r="902"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row>
    <row r="903"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row>
    <row r="904"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row>
    <row r="905"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row>
    <row r="90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row>
    <row r="907"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row>
    <row r="908"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row>
    <row r="909"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row>
    <row r="91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row>
    <row r="911"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row>
    <row r="912"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row>
    <row r="913"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row>
    <row r="914"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row>
    <row r="915"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row>
    <row r="91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row>
    <row r="917"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row>
    <row r="918"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row>
    <row r="919"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row>
    <row r="92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row>
    <row r="921"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row>
    <row r="922"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row>
    <row r="923"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row>
    <row r="924"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row>
    <row r="925"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row>
    <row r="9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row>
    <row r="927"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row>
    <row r="928"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row>
    <row r="929"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row>
    <row r="9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row>
    <row r="931"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row>
    <row r="932"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row>
    <row r="933"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row>
    <row r="934"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row>
    <row r="935"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row>
    <row r="93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row>
    <row r="937"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row>
    <row r="938"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row>
    <row r="939"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row>
    <row r="94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row>
    <row r="941"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row>
    <row r="942"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row>
    <row r="943"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row>
    <row r="944"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row>
    <row r="945"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row>
    <row r="94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row>
    <row r="947"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row>
    <row r="948"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row>
    <row r="949"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row>
    <row r="95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row>
    <row r="951"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row>
    <row r="952"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row>
    <row r="953"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row>
    <row r="954"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row>
    <row r="955"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row>
    <row r="95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row>
    <row r="957"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row>
    <row r="958"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row>
    <row r="959"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row>
    <row r="96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row>
    <row r="961"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row>
    <row r="962"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row>
    <row r="963"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row>
    <row r="964"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row>
    <row r="965"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row>
    <row r="96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row>
    <row r="967"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row>
    <row r="968"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row>
    <row r="969"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row>
    <row r="97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row>
    <row r="971"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row>
    <row r="972"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row>
    <row r="973"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row>
    <row r="974"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row>
    <row r="975"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row>
    <row r="97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row>
    <row r="977"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row>
    <row r="978"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row>
    <row r="979"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row>
    <row r="98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row>
    <row r="981"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row>
    <row r="982"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row>
    <row r="983"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row>
    <row r="984"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row>
    <row r="985"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row>
    <row r="98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row>
    <row r="987"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row>
    <row r="988"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row>
    <row r="989"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row>
    <row r="99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row>
    <row r="991"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row>
    <row r="992"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row>
    <row r="993"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row>
    <row r="994"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row>
    <row r="995"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row>
    <row r="99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row>
    <row r="997"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row>
    <row r="998"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row>
    <row r="999"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row>
    <row r="100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row>
  </sheetData>
  <printOptions/>
  <pageMargins bottom="0.75" footer="0.0" header="0.0" left="0.7" right="0.7" top="0.75"/>
  <pageSetup orientation="landscape"/>
  <drawing r:id="rId1"/>
</worksheet>
</file>