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6">
    <font>
      <name val="Arial"/>
      <color rgb="00000000"/>
      <sz val="11"/>
      <scheme val="minor"/>
    </font>
    <font>
      <name val="Calibri"/>
      <b val="1"/>
      <color rgb="FFFFFFFF"/>
    </font>
    <font>
      <name val="Calibri"/>
      <color rgb="00000000"/>
      <sz val="11"/>
    </font>
    <font>
      <name val="Calibri"/>
      <color rgb="FF1F2937"/>
    </font>
    <font>
      <name val="Consolas"/>
      <color rgb="00000000"/>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rgb="00000000"/>
    </font>
    <font>
      <name val="Calibri"/>
      <color rgb="00000000"/>
      <sz val="11"/>
      <u val="single"/>
    </font>
    <font>
      <name val="Consolas"/>
      <color rgb="FF000000"/>
      <sz val="10"/>
      <u val="single"/>
    </font>
  </fonts>
  <fills count="7">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rgb="FFDBE5F1"/>
        <bgColor rgb="FFDBE5F1"/>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40">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pivotButton="0" quotePrefix="0" xfId="0"/>
    <xf numFmtId="0" fontId="2" fillId="0" borderId="0" applyAlignment="1" pivotButton="0" quotePrefix="0" xfId="0">
      <alignment vertical="top" wrapText="1"/>
    </xf>
    <xf numFmtId="0" fontId="1" fillId="3" borderId="1" applyAlignment="1" pivotButton="0" quotePrefix="0" xfId="0">
      <alignment horizontal="center" wrapText="1"/>
    </xf>
    <xf numFmtId="0" fontId="3" fillId="4" borderId="1" applyAlignment="1" pivotButton="0" quotePrefix="0" xfId="0">
      <alignment horizontal="center" wrapText="1"/>
    </xf>
    <xf numFmtId="0" fontId="2" fillId="0" borderId="0" applyAlignment="1" pivotButton="0" quotePrefix="0" xfId="0">
      <alignment horizontal="center" wrapText="1"/>
    </xf>
    <xf numFmtId="0" fontId="1" fillId="0" borderId="2" applyAlignment="1" pivotButton="0" quotePrefix="0" xfId="0">
      <alignment horizontal="center" vertical="center" wrapText="1"/>
    </xf>
    <xf numFmtId="0" fontId="4" fillId="5" borderId="3" applyAlignment="1" pivotButton="0" quotePrefix="0" xfId="0">
      <alignment horizontal="center" vertical="top" wrapText="1"/>
    </xf>
    <xf numFmtId="0" fontId="5" fillId="5" borderId="3" applyAlignment="1" pivotButton="0" quotePrefix="0" xfId="0">
      <alignment horizontal="center" vertical="top" wrapText="1"/>
    </xf>
    <xf numFmtId="0" fontId="6" fillId="5" borderId="3" applyAlignment="1" pivotButton="0" quotePrefix="0" xfId="0">
      <alignment horizontal="center" vertical="top" wrapText="1"/>
    </xf>
    <xf numFmtId="0" fontId="2" fillId="5" borderId="3" applyAlignment="1" pivotButton="0" quotePrefix="0" xfId="0">
      <alignment horizontal="center" vertical="top" wrapText="1"/>
    </xf>
    <xf numFmtId="0" fontId="7" fillId="5" borderId="3" applyAlignment="1" pivotButton="0" quotePrefix="0" xfId="0">
      <alignment horizontal="center" vertical="top" wrapText="1"/>
    </xf>
    <xf numFmtId="1" fontId="2" fillId="5" borderId="3" applyAlignment="1" pivotButton="0" quotePrefix="0" xfId="0">
      <alignment horizontal="center" vertical="top" wrapText="1"/>
    </xf>
    <xf numFmtId="164" fontId="2" fillId="5" borderId="3" applyAlignment="1" pivotButton="0" quotePrefix="0" xfId="0">
      <alignment horizontal="center" vertical="top" wrapText="1"/>
    </xf>
    <xf numFmtId="0" fontId="4" fillId="0" borderId="3" applyAlignment="1" pivotButton="0" quotePrefix="0" xfId="0">
      <alignment horizontal="center" vertical="top" wrapText="1"/>
    </xf>
    <xf numFmtId="0" fontId="5" fillId="0" borderId="3" applyAlignment="1" pivotButton="0" quotePrefix="0" xfId="0">
      <alignment horizontal="center" vertical="top" wrapText="1"/>
    </xf>
    <xf numFmtId="0" fontId="8" fillId="0" borderId="3" applyAlignment="1" pivotButton="0" quotePrefix="0" xfId="0">
      <alignment horizontal="center" vertical="top" wrapText="1"/>
    </xf>
    <xf numFmtId="0" fontId="2" fillId="0" borderId="3" applyAlignment="1" pivotButton="0" quotePrefix="0" xfId="0">
      <alignment horizontal="center" vertical="top" wrapText="1"/>
    </xf>
    <xf numFmtId="0" fontId="7" fillId="0" borderId="3" applyAlignment="1" pivotButton="0" quotePrefix="0" xfId="0">
      <alignment horizontal="center" vertical="top" wrapText="1"/>
    </xf>
    <xf numFmtId="1" fontId="2" fillId="0" borderId="3" applyAlignment="1" pivotButton="0" quotePrefix="0" xfId="0">
      <alignment horizontal="center" vertical="top" wrapText="1"/>
    </xf>
    <xf numFmtId="164" fontId="2" fillId="0" borderId="3" applyAlignment="1" pivotButton="0" quotePrefix="0" xfId="0">
      <alignment horizontal="center" vertical="top" wrapText="1"/>
    </xf>
    <xf numFmtId="0" fontId="9" fillId="0" borderId="3" applyAlignment="1" pivotButton="0" quotePrefix="0" xfId="0">
      <alignment horizontal="center" vertical="top" wrapText="1"/>
    </xf>
    <xf numFmtId="0" fontId="10" fillId="5" borderId="3" applyAlignment="1" pivotButton="0" quotePrefix="0" xfId="0">
      <alignment horizontal="center" vertical="top" wrapText="1"/>
    </xf>
    <xf numFmtId="0" fontId="11" fillId="3" borderId="4" pivotButton="0" quotePrefix="0" xfId="0"/>
    <xf numFmtId="0" fontId="12" fillId="0" borderId="5" pivotButton="0" quotePrefix="0" xfId="0"/>
    <xf numFmtId="0" fontId="12" fillId="0" borderId="6" pivotButton="0" quotePrefix="0" xfId="0"/>
    <xf numFmtId="0" fontId="13" fillId="4" borderId="3" pivotButton="0" quotePrefix="0" xfId="0"/>
    <xf numFmtId="0" fontId="14" fillId="6" borderId="3" pivotButton="0" quotePrefix="0" xfId="0"/>
    <xf numFmtId="0" fontId="2" fillId="6" borderId="3" pivotButton="0" quotePrefix="0" xfId="0"/>
    <xf numFmtId="0" fontId="1" fillId="0" borderId="2" applyAlignment="1" pivotButton="0" quotePrefix="0" xfId="0">
      <alignment horizontal="center"/>
    </xf>
    <xf numFmtId="0" fontId="2" fillId="0" borderId="3" applyAlignment="1" pivotButton="0" quotePrefix="0" xfId="0">
      <alignment vertical="top" wrapText="1"/>
    </xf>
    <xf numFmtId="0" fontId="4"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5"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1" fillId="3" borderId="1" pivotButton="0" quotePrefix="0" xfId="0"/>
    <xf numFmtId="0" fontId="8" fillId="5" borderId="3" applyAlignment="1" pivotButton="0" quotePrefix="0" xfId="0">
      <alignment horizontal="center" vertical="top" wrapText="1"/>
    </xf>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K220"/>
  <sheetViews>
    <sheetView workbookViewId="0">
      <selection activeCell="A1" sqref="A1"/>
    </sheetView>
  </sheetViews>
  <sheetFormatPr baseColWidth="8" defaultColWidth="12.63" defaultRowHeight="15" customHeight="1"/>
  <cols>
    <col width="24.5" customWidth="1" style="37" min="1" max="1"/>
    <col width="101.5" customWidth="1" style="37" min="2" max="2"/>
    <col width="7.63" customWidth="1" style="37" min="3" max="6"/>
  </cols>
  <sheetData>
    <row r="1">
      <c r="A1" s="1" t="inlineStr">
        <is>
          <t>Ebook source-of-truth rules</t>
        </is>
      </c>
      <c r="E1" s="2" t="n"/>
      <c r="F1" s="2" t="n"/>
      <c r="G1" s="2" t="n"/>
      <c r="H1" s="2" t="n"/>
      <c r="I1" s="2" t="n"/>
      <c r="J1" s="2" t="n"/>
      <c r="K1" s="2" t="n"/>
    </row>
    <row r="2">
      <c r="A2" s="1" t="inlineStr">
        <is>
          <t>Workbook status</t>
        </is>
      </c>
      <c r="B2" s="3" t="inlineStr">
        <is>
          <t>This workbook is the canonical metadata source for the ebook catalogue.</t>
        </is>
      </c>
      <c r="C2" s="2" t="n"/>
      <c r="D2" s="2" t="n"/>
      <c r="E2" s="2" t="n"/>
      <c r="F2" s="2" t="n"/>
      <c r="G2" s="2" t="n"/>
      <c r="H2" s="2" t="n"/>
      <c r="I2" s="2" t="n"/>
      <c r="J2" s="2" t="n"/>
      <c r="K2" s="2" t="n"/>
    </row>
    <row r="3">
      <c r="A3" s="1" t="inlineStr">
        <is>
          <t>Canonical sheet</t>
        </is>
      </c>
      <c r="B3" s="3" t="inlineStr">
        <is>
          <t>Ebooks Master</t>
        </is>
      </c>
      <c r="C3" s="2" t="n"/>
      <c r="D3" s="2" t="n"/>
      <c r="E3" s="2" t="n"/>
      <c r="F3" s="2" t="n"/>
      <c r="G3" s="2" t="n"/>
      <c r="H3" s="2" t="n"/>
      <c r="I3" s="2" t="n"/>
      <c r="J3" s="2" t="n"/>
      <c r="K3" s="2" t="n"/>
    </row>
    <row r="4">
      <c r="A4" s="1" t="inlineStr">
        <is>
          <t>Title rule</t>
        </is>
      </c>
      <c r="B4" s="3" t="inlineStr">
        <is>
          <t>The Title column is the canonical ebook title to use across manuscript front matter, listings, and website copy.</t>
        </is>
      </c>
      <c r="C4" s="2" t="n"/>
      <c r="D4" s="2" t="n"/>
      <c r="E4" s="2" t="n"/>
      <c r="F4" s="2" t="n"/>
      <c r="G4" s="2" t="n"/>
      <c r="H4" s="2" t="n"/>
      <c r="I4" s="2" t="n"/>
      <c r="J4" s="2" t="n"/>
      <c r="K4" s="2" t="n"/>
    </row>
    <row r="5">
      <c r="A5" s="1" t="inlineStr">
        <is>
          <t>Manuscript drift tracking</t>
        </is>
      </c>
      <c r="B5" s="3" t="inlineStr">
        <is>
          <t>Ebooks Master includes manuscript filename, observed manuscript title, and title alignment status for each book.</t>
        </is>
      </c>
      <c r="C5" s="2" t="n"/>
      <c r="D5" s="2" t="n"/>
      <c r="E5" s="2" t="n"/>
      <c r="F5" s="2" t="n"/>
      <c r="G5" s="2" t="n"/>
      <c r="H5" s="2" t="n"/>
      <c r="I5" s="2" t="n"/>
      <c r="J5" s="2" t="n"/>
      <c r="K5" s="2" t="n"/>
    </row>
    <row r="6">
      <c r="A6" s="1" t="inlineStr">
        <is>
          <t>Page-count rule</t>
        </is>
      </c>
      <c r="B6" s="3" t="inlineStr">
        <is>
          <t>Amazon ebook page count is marketplace-defined. It may differ from the manuscript PDF page count and is treated as the canonical marketplace count here.</t>
        </is>
      </c>
      <c r="C6" s="2" t="n"/>
      <c r="D6" s="2" t="n"/>
      <c r="E6" s="2" t="n"/>
      <c r="F6" s="2" t="n"/>
      <c r="G6" s="2" t="n"/>
      <c r="H6" s="2" t="n"/>
      <c r="I6" s="2" t="n"/>
      <c r="J6" s="2" t="n"/>
      <c r="K6" s="2" t="n"/>
    </row>
    <row r="7">
      <c r="A7" s="1" t="inlineStr">
        <is>
          <t>Operational sheets</t>
        </is>
      </c>
      <c r="B7" s="3" t="inlineStr">
        <is>
          <t>BuyNow Redirects and Pages remain operational views. Their page-count headers have been clarified to mean Amazon ebook page count.</t>
        </is>
      </c>
      <c r="C7" s="2" t="n"/>
      <c r="D7" s="2" t="n"/>
      <c r="E7" s="2" t="n"/>
      <c r="F7" s="2" t="n"/>
      <c r="G7" s="2" t="n"/>
      <c r="H7" s="2" t="n"/>
      <c r="I7" s="2" t="n"/>
      <c r="J7" s="2" t="n"/>
      <c r="K7" s="2" t="n"/>
    </row>
    <row r="8">
      <c r="A8" s="1" t="inlineStr">
        <is>
          <t>Updated on</t>
        </is>
      </c>
      <c r="B8" s="3" t="inlineStr">
        <is>
          <t>2026-03-21</t>
        </is>
      </c>
      <c r="C8" s="2" t="n"/>
      <c r="D8" s="2" t="n"/>
      <c r="E8" s="2" t="n"/>
      <c r="F8" s="2" t="n"/>
      <c r="G8" s="2" t="n"/>
      <c r="H8" s="2" t="n"/>
      <c r="I8" s="2" t="n"/>
      <c r="J8" s="2" t="n"/>
      <c r="K8" s="2" t="n"/>
    </row>
    <row r="9">
      <c r="A9" s="2" t="n"/>
      <c r="B9" s="2" t="n"/>
      <c r="C9" s="2" t="n"/>
      <c r="D9" s="2" t="n"/>
      <c r="E9" s="2" t="n"/>
      <c r="F9" s="2" t="n"/>
      <c r="G9" s="2" t="n"/>
      <c r="H9" s="2" t="n"/>
      <c r="I9" s="2" t="n"/>
      <c r="J9" s="2" t="n"/>
      <c r="K9" s="2" t="n"/>
    </row>
    <row r="10">
      <c r="A10" s="2" t="n"/>
      <c r="B10" s="2" t="n"/>
      <c r="C10" s="2" t="n"/>
      <c r="D10" s="2" t="n"/>
      <c r="E10" s="2" t="n"/>
      <c r="F10" s="2" t="n"/>
      <c r="G10" s="2" t="n"/>
      <c r="H10" s="2" t="n"/>
      <c r="I10" s="2" t="n"/>
      <c r="J10" s="2" t="n"/>
      <c r="K10" s="2" t="n"/>
    </row>
    <row r="11">
      <c r="A11" s="2" t="n"/>
      <c r="B11" s="2" t="n"/>
      <c r="C11" s="2" t="n"/>
      <c r="D11" s="2" t="n"/>
      <c r="E11" s="2" t="n"/>
      <c r="F11" s="2" t="n"/>
      <c r="G11" s="2" t="n"/>
      <c r="H11" s="2" t="n"/>
      <c r="I11" s="2" t="n"/>
      <c r="J11" s="2" t="n"/>
      <c r="K11" s="2" t="n"/>
    </row>
    <row r="12">
      <c r="A12" s="2" t="n"/>
      <c r="B12" s="2" t="n"/>
      <c r="C12" s="2" t="n"/>
      <c r="D12" s="2" t="n"/>
      <c r="E12" s="2" t="n"/>
      <c r="F12" s="2" t="n"/>
      <c r="G12" s="2" t="n"/>
      <c r="H12" s="2" t="n"/>
      <c r="I12" s="2" t="n"/>
      <c r="J12" s="2" t="n"/>
      <c r="K12" s="2" t="n"/>
    </row>
    <row r="13">
      <c r="A13" s="2" t="n"/>
      <c r="B13" s="2" t="n"/>
      <c r="C13" s="2" t="n"/>
      <c r="D13" s="2" t="n"/>
      <c r="E13" s="2" t="n"/>
      <c r="F13" s="2" t="n"/>
      <c r="G13" s="2" t="n"/>
      <c r="H13" s="2" t="n"/>
      <c r="I13" s="2" t="n"/>
      <c r="J13" s="2" t="n"/>
      <c r="K13" s="2" t="n"/>
    </row>
    <row r="14">
      <c r="A14" s="2" t="n"/>
      <c r="B14" s="2" t="n"/>
      <c r="C14" s="2" t="n"/>
      <c r="D14" s="2" t="n"/>
      <c r="E14" s="2" t="n"/>
      <c r="F14" s="2" t="n"/>
      <c r="G14" s="2" t="n"/>
      <c r="H14" s="2" t="n"/>
      <c r="I14" s="2" t="n"/>
      <c r="J14" s="2" t="n"/>
      <c r="K14" s="2" t="n"/>
    </row>
    <row r="15">
      <c r="A15" s="2" t="n"/>
      <c r="B15" s="2" t="n"/>
      <c r="C15" s="2" t="n"/>
      <c r="D15" s="2" t="n"/>
      <c r="E15" s="2" t="n"/>
      <c r="F15" s="2" t="n"/>
      <c r="G15" s="2" t="n"/>
      <c r="H15" s="2" t="n"/>
      <c r="I15" s="2" t="n"/>
      <c r="J15" s="2" t="n"/>
      <c r="K15" s="2" t="n"/>
    </row>
    <row r="16">
      <c r="A16" s="2" t="n"/>
      <c r="B16" s="2" t="n"/>
      <c r="C16" s="2" t="n"/>
      <c r="D16" s="2" t="n"/>
      <c r="E16" s="2" t="n"/>
      <c r="F16" s="2" t="n"/>
      <c r="G16" s="2" t="n"/>
      <c r="H16" s="2" t="n"/>
      <c r="I16" s="2" t="n"/>
      <c r="J16" s="2" t="n"/>
      <c r="K16" s="2" t="n"/>
    </row>
    <row r="17">
      <c r="A17" s="2" t="n"/>
      <c r="B17" s="2" t="n"/>
      <c r="C17" s="2" t="n"/>
      <c r="D17" s="2" t="n"/>
      <c r="E17" s="2" t="n"/>
      <c r="F17" s="2" t="n"/>
      <c r="G17" s="2" t="n"/>
      <c r="H17" s="2" t="n"/>
      <c r="I17" s="2" t="n"/>
      <c r="J17" s="2" t="n"/>
      <c r="K17" s="2" t="n"/>
    </row>
    <row r="18">
      <c r="A18" s="2" t="n"/>
      <c r="B18" s="2" t="n"/>
      <c r="C18" s="2" t="n"/>
      <c r="D18" s="2" t="n"/>
      <c r="E18" s="2" t="n"/>
      <c r="F18" s="2" t="n"/>
      <c r="G18" s="2" t="n"/>
      <c r="H18" s="2" t="n"/>
      <c r="I18" s="2" t="n"/>
      <c r="J18" s="2" t="n"/>
      <c r="K18" s="2" t="n"/>
    </row>
    <row r="19">
      <c r="A19" s="2" t="n"/>
      <c r="B19" s="2" t="n"/>
      <c r="C19" s="2" t="n"/>
      <c r="D19" s="2" t="n"/>
      <c r="E19" s="2" t="n"/>
      <c r="F19" s="2" t="n"/>
      <c r="G19" s="2" t="n"/>
      <c r="H19" s="2" t="n"/>
      <c r="I19" s="2" t="n"/>
      <c r="J19" s="2" t="n"/>
      <c r="K19" s="2" t="n"/>
    </row>
    <row r="20">
      <c r="A20" s="2" t="n"/>
      <c r="B20" s="2" t="n"/>
      <c r="C20" s="2" t="n"/>
      <c r="D20" s="2" t="n"/>
      <c r="E20" s="2" t="n"/>
      <c r="F20" s="2" t="n"/>
      <c r="G20" s="2" t="n"/>
      <c r="H20" s="2" t="n"/>
      <c r="I20" s="2" t="n"/>
      <c r="J20" s="2" t="n"/>
      <c r="K20" s="2" t="n"/>
    </row>
    <row r="21" ht="15.75" customHeight="1" s="37">
      <c r="A21" s="2" t="n"/>
      <c r="B21" s="2" t="n"/>
      <c r="C21" s="2" t="n"/>
      <c r="D21" s="2" t="n"/>
      <c r="E21" s="2" t="n"/>
      <c r="F21" s="2" t="n"/>
      <c r="G21" s="2" t="n"/>
      <c r="H21" s="2" t="n"/>
      <c r="I21" s="2" t="n"/>
      <c r="J21" s="2" t="n"/>
      <c r="K21" s="2" t="n"/>
    </row>
    <row r="22" ht="15.75" customHeight="1" s="37">
      <c r="A22" s="2" t="n"/>
      <c r="B22" s="2" t="n"/>
      <c r="C22" s="2" t="n"/>
      <c r="D22" s="2" t="n"/>
      <c r="E22" s="2" t="n"/>
      <c r="F22" s="2" t="n"/>
      <c r="G22" s="2" t="n"/>
      <c r="H22" s="2" t="n"/>
      <c r="I22" s="2" t="n"/>
      <c r="J22" s="2" t="n"/>
      <c r="K22" s="2" t="n"/>
    </row>
    <row r="23" ht="15.75" customHeight="1" s="37">
      <c r="A23" s="2" t="n"/>
      <c r="B23" s="2" t="n"/>
      <c r="C23" s="2" t="n"/>
      <c r="D23" s="2" t="n"/>
      <c r="E23" s="2" t="n"/>
      <c r="F23" s="2" t="n"/>
      <c r="G23" s="2" t="n"/>
      <c r="H23" s="2" t="n"/>
      <c r="I23" s="2" t="n"/>
      <c r="J23" s="2" t="n"/>
      <c r="K23" s="2" t="n"/>
    </row>
    <row r="24" ht="15.75" customHeight="1" s="37">
      <c r="A24" s="2" t="n"/>
      <c r="B24" s="2" t="n"/>
      <c r="C24" s="2" t="n"/>
      <c r="D24" s="2" t="n"/>
      <c r="E24" s="2" t="n"/>
      <c r="F24" s="2" t="n"/>
      <c r="G24" s="2" t="n"/>
      <c r="H24" s="2" t="n"/>
      <c r="I24" s="2" t="n"/>
      <c r="J24" s="2" t="n"/>
      <c r="K24" s="2" t="n"/>
    </row>
    <row r="25" ht="15.75" customHeight="1" s="37">
      <c r="A25" s="2" t="n"/>
      <c r="B25" s="2" t="n"/>
      <c r="C25" s="2" t="n"/>
      <c r="D25" s="2" t="n"/>
      <c r="E25" s="2" t="n"/>
      <c r="F25" s="2" t="n"/>
      <c r="G25" s="2" t="n"/>
      <c r="H25" s="2" t="n"/>
      <c r="I25" s="2" t="n"/>
      <c r="J25" s="2" t="n"/>
      <c r="K25" s="2" t="n"/>
    </row>
    <row r="26" ht="15.75" customHeight="1" s="37">
      <c r="A26" s="2" t="n"/>
      <c r="B26" s="2" t="n"/>
      <c r="C26" s="2" t="n"/>
      <c r="D26" s="2" t="n"/>
      <c r="E26" s="2" t="n"/>
      <c r="F26" s="2" t="n"/>
      <c r="G26" s="2" t="n"/>
      <c r="H26" s="2" t="n"/>
      <c r="I26" s="2" t="n"/>
      <c r="J26" s="2" t="n"/>
      <c r="K26" s="2" t="n"/>
    </row>
    <row r="27" ht="15.75" customHeight="1" s="37">
      <c r="A27" s="2" t="n"/>
      <c r="B27" s="2" t="n"/>
      <c r="C27" s="2" t="n"/>
      <c r="D27" s="2" t="n"/>
      <c r="E27" s="2" t="n"/>
      <c r="F27" s="2" t="n"/>
      <c r="G27" s="2" t="n"/>
      <c r="H27" s="2" t="n"/>
      <c r="I27" s="2" t="n"/>
      <c r="J27" s="2" t="n"/>
      <c r="K27" s="2" t="n"/>
    </row>
    <row r="28" ht="15.75" customHeight="1" s="37">
      <c r="A28" s="2" t="n"/>
      <c r="B28" s="2" t="n"/>
      <c r="C28" s="2" t="n"/>
      <c r="D28" s="2" t="n"/>
      <c r="E28" s="2" t="n"/>
      <c r="F28" s="2" t="n"/>
      <c r="G28" s="2" t="n"/>
      <c r="H28" s="2" t="n"/>
      <c r="I28" s="2" t="n"/>
      <c r="J28" s="2" t="n"/>
      <c r="K28" s="2" t="n"/>
    </row>
    <row r="29" ht="15.75" customHeight="1" s="37">
      <c r="A29" s="2" t="n"/>
      <c r="B29" s="2" t="n"/>
      <c r="C29" s="2" t="n"/>
      <c r="D29" s="2" t="n"/>
      <c r="E29" s="2" t="n"/>
      <c r="F29" s="2" t="n"/>
      <c r="G29" s="2" t="n"/>
      <c r="H29" s="2" t="n"/>
      <c r="I29" s="2" t="n"/>
      <c r="J29" s="2" t="n"/>
      <c r="K29" s="2" t="n"/>
    </row>
    <row r="30" ht="15.75" customHeight="1" s="37">
      <c r="A30" s="2" t="n"/>
      <c r="B30" s="2" t="n"/>
      <c r="C30" s="2" t="n"/>
      <c r="D30" s="2" t="n"/>
      <c r="E30" s="2" t="n"/>
      <c r="F30" s="2" t="n"/>
      <c r="G30" s="2" t="n"/>
      <c r="H30" s="2" t="n"/>
      <c r="I30" s="2" t="n"/>
      <c r="J30" s="2" t="n"/>
      <c r="K30" s="2" t="n"/>
    </row>
    <row r="31" ht="15.75" customHeight="1" s="37">
      <c r="A31" s="2" t="n"/>
      <c r="B31" s="2" t="n"/>
      <c r="C31" s="2" t="n"/>
      <c r="D31" s="2" t="n"/>
      <c r="E31" s="2" t="n"/>
      <c r="F31" s="2" t="n"/>
      <c r="G31" s="2" t="n"/>
      <c r="H31" s="2" t="n"/>
      <c r="I31" s="2" t="n"/>
      <c r="J31" s="2" t="n"/>
      <c r="K31" s="2" t="n"/>
    </row>
    <row r="32" ht="15.75" customHeight="1" s="37">
      <c r="A32" s="2" t="n"/>
      <c r="B32" s="2" t="n"/>
      <c r="C32" s="2" t="n"/>
      <c r="D32" s="2" t="n"/>
      <c r="E32" s="2" t="n"/>
      <c r="F32" s="2" t="n"/>
      <c r="G32" s="2" t="n"/>
      <c r="H32" s="2" t="n"/>
      <c r="I32" s="2" t="n"/>
      <c r="J32" s="2" t="n"/>
      <c r="K32" s="2" t="n"/>
    </row>
    <row r="33" ht="15.75" customHeight="1" s="37">
      <c r="A33" s="2" t="n"/>
      <c r="B33" s="2" t="n"/>
      <c r="C33" s="2" t="n"/>
      <c r="D33" s="2" t="n"/>
      <c r="E33" s="2" t="n"/>
      <c r="F33" s="2" t="n"/>
      <c r="G33" s="2" t="n"/>
      <c r="H33" s="2" t="n"/>
      <c r="I33" s="2" t="n"/>
      <c r="J33" s="2" t="n"/>
      <c r="K33" s="2" t="n"/>
    </row>
    <row r="34" ht="15.75" customHeight="1" s="37">
      <c r="A34" s="2" t="n"/>
      <c r="B34" s="2" t="n"/>
      <c r="C34" s="2" t="n"/>
      <c r="D34" s="2" t="n"/>
      <c r="E34" s="2" t="n"/>
      <c r="F34" s="2" t="n"/>
      <c r="G34" s="2" t="n"/>
      <c r="H34" s="2" t="n"/>
      <c r="I34" s="2" t="n"/>
      <c r="J34" s="2" t="n"/>
      <c r="K34" s="2" t="n"/>
    </row>
    <row r="35" ht="15.75" customHeight="1" s="37">
      <c r="A35" s="2" t="n"/>
      <c r="B35" s="2" t="n"/>
      <c r="C35" s="2" t="n"/>
      <c r="D35" s="2" t="n"/>
      <c r="E35" s="2" t="n"/>
      <c r="F35" s="2" t="n"/>
      <c r="G35" s="2" t="n"/>
      <c r="H35" s="2" t="n"/>
      <c r="I35" s="2" t="n"/>
      <c r="J35" s="2" t="n"/>
      <c r="K35" s="2" t="n"/>
    </row>
    <row r="36" ht="15.75" customHeight="1" s="37">
      <c r="A36" s="2" t="n"/>
      <c r="B36" s="2" t="n"/>
      <c r="C36" s="2" t="n"/>
      <c r="D36" s="2" t="n"/>
      <c r="E36" s="2" t="n"/>
      <c r="F36" s="2" t="n"/>
      <c r="G36" s="2" t="n"/>
      <c r="H36" s="2" t="n"/>
      <c r="I36" s="2" t="n"/>
      <c r="J36" s="2" t="n"/>
      <c r="K36" s="2" t="n"/>
    </row>
    <row r="37" ht="15.75" customHeight="1" s="37">
      <c r="A37" s="2" t="n"/>
      <c r="B37" s="2" t="n"/>
      <c r="C37" s="2" t="n"/>
      <c r="D37" s="2" t="n"/>
      <c r="E37" s="2" t="n"/>
      <c r="F37" s="2" t="n"/>
      <c r="G37" s="2" t="n"/>
      <c r="H37" s="2" t="n"/>
      <c r="I37" s="2" t="n"/>
      <c r="J37" s="2" t="n"/>
      <c r="K37" s="2" t="n"/>
    </row>
    <row r="38" ht="15.75" customHeight="1" s="37">
      <c r="A38" s="2" t="n"/>
      <c r="B38" s="2" t="n"/>
      <c r="C38" s="2" t="n"/>
      <c r="D38" s="2" t="n"/>
      <c r="E38" s="2" t="n"/>
      <c r="F38" s="2" t="n"/>
      <c r="G38" s="2" t="n"/>
      <c r="H38" s="2" t="n"/>
      <c r="I38" s="2" t="n"/>
      <c r="J38" s="2" t="n"/>
      <c r="K38" s="2" t="n"/>
    </row>
    <row r="39" ht="15.75" customHeight="1" s="37">
      <c r="A39" s="2" t="n"/>
      <c r="B39" s="2" t="n"/>
      <c r="C39" s="2" t="n"/>
      <c r="D39" s="2" t="n"/>
      <c r="E39" s="2" t="n"/>
      <c r="F39" s="2" t="n"/>
      <c r="G39" s="2" t="n"/>
      <c r="H39" s="2" t="n"/>
      <c r="I39" s="2" t="n"/>
      <c r="J39" s="2" t="n"/>
      <c r="K39" s="2" t="n"/>
    </row>
    <row r="40" ht="15.75" customHeight="1" s="37">
      <c r="A40" s="2" t="n"/>
      <c r="B40" s="2" t="n"/>
      <c r="C40" s="2" t="n"/>
      <c r="D40" s="2" t="n"/>
      <c r="E40" s="2" t="n"/>
      <c r="F40" s="2" t="n"/>
      <c r="G40" s="2" t="n"/>
      <c r="H40" s="2" t="n"/>
      <c r="I40" s="2" t="n"/>
      <c r="J40" s="2" t="n"/>
      <c r="K40" s="2" t="n"/>
    </row>
    <row r="41" ht="15.75" customHeight="1" s="37">
      <c r="A41" s="2" t="n"/>
      <c r="B41" s="2" t="n"/>
      <c r="C41" s="2" t="n"/>
      <c r="D41" s="2" t="n"/>
      <c r="E41" s="2" t="n"/>
      <c r="F41" s="2" t="n"/>
      <c r="G41" s="2" t="n"/>
      <c r="H41" s="2" t="n"/>
      <c r="I41" s="2" t="n"/>
      <c r="J41" s="2" t="n"/>
      <c r="K41" s="2" t="n"/>
    </row>
    <row r="42" ht="15.75" customHeight="1" s="37">
      <c r="A42" s="2" t="n"/>
      <c r="B42" s="2" t="n"/>
      <c r="C42" s="2" t="n"/>
      <c r="D42" s="2" t="n"/>
      <c r="E42" s="2" t="n"/>
      <c r="F42" s="2" t="n"/>
      <c r="G42" s="2" t="n"/>
      <c r="H42" s="2" t="n"/>
      <c r="I42" s="2" t="n"/>
      <c r="J42" s="2" t="n"/>
      <c r="K42" s="2" t="n"/>
    </row>
    <row r="43" ht="15.75" customHeight="1" s="37">
      <c r="A43" s="2" t="n"/>
      <c r="B43" s="2" t="n"/>
      <c r="C43" s="2" t="n"/>
      <c r="D43" s="2" t="n"/>
      <c r="E43" s="2" t="n"/>
      <c r="F43" s="2" t="n"/>
      <c r="G43" s="2" t="n"/>
      <c r="H43" s="2" t="n"/>
      <c r="I43" s="2" t="n"/>
      <c r="J43" s="2" t="n"/>
      <c r="K43" s="2" t="n"/>
    </row>
    <row r="44" ht="15.75" customHeight="1" s="37">
      <c r="A44" s="2" t="n"/>
      <c r="B44" s="2" t="n"/>
      <c r="C44" s="2" t="n"/>
      <c r="D44" s="2" t="n"/>
      <c r="E44" s="2" t="n"/>
      <c r="F44" s="2" t="n"/>
      <c r="G44" s="2" t="n"/>
      <c r="H44" s="2" t="n"/>
      <c r="I44" s="2" t="n"/>
      <c r="J44" s="2" t="n"/>
      <c r="K44" s="2" t="n"/>
    </row>
    <row r="45" ht="15.75" customHeight="1" s="37">
      <c r="A45" s="2" t="n"/>
      <c r="B45" s="2" t="n"/>
      <c r="C45" s="2" t="n"/>
      <c r="D45" s="2" t="n"/>
      <c r="E45" s="2" t="n"/>
      <c r="F45" s="2" t="n"/>
      <c r="G45" s="2" t="n"/>
      <c r="H45" s="2" t="n"/>
      <c r="I45" s="2" t="n"/>
      <c r="J45" s="2" t="n"/>
      <c r="K45" s="2" t="n"/>
    </row>
    <row r="46" ht="15.75" customHeight="1" s="37">
      <c r="A46" s="2" t="n"/>
      <c r="B46" s="2" t="n"/>
      <c r="C46" s="2" t="n"/>
      <c r="D46" s="2" t="n"/>
      <c r="E46" s="2" t="n"/>
      <c r="F46" s="2" t="n"/>
      <c r="G46" s="2" t="n"/>
      <c r="H46" s="2" t="n"/>
      <c r="I46" s="2" t="n"/>
      <c r="J46" s="2" t="n"/>
      <c r="K46" s="2" t="n"/>
    </row>
    <row r="47" ht="15.75" customHeight="1" s="37">
      <c r="A47" s="2" t="n"/>
      <c r="B47" s="2" t="n"/>
      <c r="C47" s="2" t="n"/>
      <c r="D47" s="2" t="n"/>
      <c r="E47" s="2" t="n"/>
      <c r="F47" s="2" t="n"/>
      <c r="G47" s="2" t="n"/>
      <c r="H47" s="2" t="n"/>
      <c r="I47" s="2" t="n"/>
      <c r="J47" s="2" t="n"/>
      <c r="K47" s="2" t="n"/>
    </row>
    <row r="48" ht="15.75" customHeight="1" s="37">
      <c r="A48" s="2" t="n"/>
      <c r="B48" s="2" t="n"/>
      <c r="C48" s="2" t="n"/>
      <c r="D48" s="2" t="n"/>
      <c r="E48" s="2" t="n"/>
      <c r="F48" s="2" t="n"/>
      <c r="G48" s="2" t="n"/>
      <c r="H48" s="2" t="n"/>
      <c r="I48" s="2" t="n"/>
      <c r="J48" s="2" t="n"/>
      <c r="K48" s="2" t="n"/>
    </row>
    <row r="49" ht="15.75" customHeight="1" s="37">
      <c r="A49" s="2" t="n"/>
      <c r="B49" s="2" t="n"/>
      <c r="C49" s="2" t="n"/>
      <c r="D49" s="2" t="n"/>
      <c r="E49" s="2" t="n"/>
      <c r="F49" s="2" t="n"/>
      <c r="G49" s="2" t="n"/>
      <c r="H49" s="2" t="n"/>
      <c r="I49" s="2" t="n"/>
      <c r="J49" s="2" t="n"/>
      <c r="K49" s="2" t="n"/>
    </row>
    <row r="50" ht="15.75" customHeight="1" s="37">
      <c r="A50" s="2" t="n"/>
      <c r="B50" s="2" t="n"/>
      <c r="C50" s="2" t="n"/>
      <c r="D50" s="2" t="n"/>
      <c r="E50" s="2" t="n"/>
      <c r="F50" s="2" t="n"/>
      <c r="G50" s="2" t="n"/>
      <c r="H50" s="2" t="n"/>
      <c r="I50" s="2" t="n"/>
      <c r="J50" s="2" t="n"/>
      <c r="K50" s="2" t="n"/>
    </row>
    <row r="51" ht="15.75" customHeight="1" s="37">
      <c r="A51" s="2" t="n"/>
      <c r="B51" s="2" t="n"/>
      <c r="C51" s="2" t="n"/>
      <c r="D51" s="2" t="n"/>
      <c r="E51" s="2" t="n"/>
      <c r="F51" s="2" t="n"/>
      <c r="G51" s="2" t="n"/>
      <c r="H51" s="2" t="n"/>
      <c r="I51" s="2" t="n"/>
      <c r="J51" s="2" t="n"/>
      <c r="K51" s="2" t="n"/>
    </row>
    <row r="52" ht="15.75" customHeight="1" s="37">
      <c r="A52" s="2" t="n"/>
      <c r="B52" s="2" t="n"/>
      <c r="C52" s="2" t="n"/>
      <c r="D52" s="2" t="n"/>
      <c r="E52" s="2" t="n"/>
      <c r="F52" s="2" t="n"/>
      <c r="G52" s="2" t="n"/>
      <c r="H52" s="2" t="n"/>
      <c r="I52" s="2" t="n"/>
      <c r="J52" s="2" t="n"/>
      <c r="K52" s="2" t="n"/>
    </row>
    <row r="53" ht="15.75" customHeight="1" s="37">
      <c r="A53" s="2" t="n"/>
      <c r="B53" s="2" t="n"/>
      <c r="C53" s="2" t="n"/>
      <c r="D53" s="2" t="n"/>
      <c r="E53" s="2" t="n"/>
      <c r="F53" s="2" t="n"/>
      <c r="G53" s="2" t="n"/>
      <c r="H53" s="2" t="n"/>
      <c r="I53" s="2" t="n"/>
      <c r="J53" s="2" t="n"/>
      <c r="K53" s="2" t="n"/>
    </row>
    <row r="54" ht="15.75" customHeight="1" s="37">
      <c r="A54" s="2" t="n"/>
      <c r="B54" s="2" t="n"/>
      <c r="C54" s="2" t="n"/>
      <c r="D54" s="2" t="n"/>
      <c r="E54" s="2" t="n"/>
      <c r="F54" s="2" t="n"/>
      <c r="G54" s="2" t="n"/>
      <c r="H54" s="2" t="n"/>
      <c r="I54" s="2" t="n"/>
      <c r="J54" s="2" t="n"/>
      <c r="K54" s="2" t="n"/>
    </row>
    <row r="55" ht="15.75" customHeight="1" s="37">
      <c r="A55" s="2" t="n"/>
      <c r="B55" s="2" t="n"/>
      <c r="C55" s="2" t="n"/>
      <c r="D55" s="2" t="n"/>
      <c r="E55" s="2" t="n"/>
      <c r="F55" s="2" t="n"/>
      <c r="G55" s="2" t="n"/>
      <c r="H55" s="2" t="n"/>
      <c r="I55" s="2" t="n"/>
      <c r="J55" s="2" t="n"/>
      <c r="K55" s="2" t="n"/>
    </row>
    <row r="56" ht="15.75" customHeight="1" s="37">
      <c r="A56" s="2" t="n"/>
      <c r="B56" s="2" t="n"/>
      <c r="C56" s="2" t="n"/>
      <c r="D56" s="2" t="n"/>
      <c r="E56" s="2" t="n"/>
      <c r="F56" s="2" t="n"/>
      <c r="G56" s="2" t="n"/>
      <c r="H56" s="2" t="n"/>
      <c r="I56" s="2" t="n"/>
      <c r="J56" s="2" t="n"/>
      <c r="K56" s="2" t="n"/>
    </row>
    <row r="57" ht="15.75" customHeight="1" s="37">
      <c r="A57" s="2" t="n"/>
      <c r="B57" s="2" t="n"/>
      <c r="C57" s="2" t="n"/>
      <c r="D57" s="2" t="n"/>
      <c r="E57" s="2" t="n"/>
      <c r="F57" s="2" t="n"/>
      <c r="G57" s="2" t="n"/>
      <c r="H57" s="2" t="n"/>
      <c r="I57" s="2" t="n"/>
      <c r="J57" s="2" t="n"/>
      <c r="K57" s="2" t="n"/>
    </row>
    <row r="58" ht="15.75" customHeight="1" s="37">
      <c r="A58" s="2" t="n"/>
      <c r="B58" s="2" t="n"/>
      <c r="C58" s="2" t="n"/>
      <c r="D58" s="2" t="n"/>
      <c r="E58" s="2" t="n"/>
      <c r="F58" s="2" t="n"/>
      <c r="G58" s="2" t="n"/>
      <c r="H58" s="2" t="n"/>
      <c r="I58" s="2" t="n"/>
      <c r="J58" s="2" t="n"/>
      <c r="K58" s="2" t="n"/>
    </row>
    <row r="59" ht="15.75" customHeight="1" s="37">
      <c r="A59" s="2" t="n"/>
      <c r="B59" s="2" t="n"/>
      <c r="C59" s="2" t="n"/>
      <c r="D59" s="2" t="n"/>
      <c r="E59" s="2" t="n"/>
      <c r="F59" s="2" t="n"/>
      <c r="G59" s="2" t="n"/>
      <c r="H59" s="2" t="n"/>
      <c r="I59" s="2" t="n"/>
      <c r="J59" s="2" t="n"/>
      <c r="K59" s="2" t="n"/>
    </row>
    <row r="60" ht="15.75" customHeight="1" s="37">
      <c r="A60" s="2" t="n"/>
      <c r="B60" s="2" t="n"/>
      <c r="C60" s="2" t="n"/>
      <c r="D60" s="2" t="n"/>
      <c r="E60" s="2" t="n"/>
      <c r="F60" s="2" t="n"/>
      <c r="G60" s="2" t="n"/>
      <c r="H60" s="2" t="n"/>
      <c r="I60" s="2" t="n"/>
      <c r="J60" s="2" t="n"/>
      <c r="K60" s="2" t="n"/>
    </row>
    <row r="61" ht="15.75" customHeight="1" s="37">
      <c r="A61" s="2" t="n"/>
      <c r="B61" s="2" t="n"/>
      <c r="C61" s="2" t="n"/>
      <c r="D61" s="2" t="n"/>
      <c r="E61" s="2" t="n"/>
      <c r="F61" s="2" t="n"/>
      <c r="G61" s="2" t="n"/>
      <c r="H61" s="2" t="n"/>
      <c r="I61" s="2" t="n"/>
      <c r="J61" s="2" t="n"/>
      <c r="K61" s="2" t="n"/>
    </row>
    <row r="62" ht="15.75" customHeight="1" s="37">
      <c r="A62" s="2" t="n"/>
      <c r="B62" s="2" t="n"/>
      <c r="C62" s="2" t="n"/>
      <c r="D62" s="2" t="n"/>
      <c r="E62" s="2" t="n"/>
      <c r="F62" s="2" t="n"/>
      <c r="G62" s="2" t="n"/>
      <c r="H62" s="2" t="n"/>
      <c r="I62" s="2" t="n"/>
      <c r="J62" s="2" t="n"/>
      <c r="K62" s="2" t="n"/>
    </row>
    <row r="63" ht="15.75" customHeight="1" s="37">
      <c r="A63" s="2" t="n"/>
      <c r="B63" s="2" t="n"/>
      <c r="C63" s="2" t="n"/>
      <c r="D63" s="2" t="n"/>
      <c r="E63" s="2" t="n"/>
      <c r="F63" s="2" t="n"/>
      <c r="G63" s="2" t="n"/>
      <c r="H63" s="2" t="n"/>
      <c r="I63" s="2" t="n"/>
      <c r="J63" s="2" t="n"/>
      <c r="K63" s="2" t="n"/>
    </row>
    <row r="64" ht="15.75" customHeight="1" s="37">
      <c r="A64" s="2" t="n"/>
      <c r="B64" s="2" t="n"/>
      <c r="C64" s="2" t="n"/>
      <c r="D64" s="2" t="n"/>
      <c r="E64" s="2" t="n"/>
      <c r="F64" s="2" t="n"/>
      <c r="G64" s="2" t="n"/>
      <c r="H64" s="2" t="n"/>
      <c r="I64" s="2" t="n"/>
      <c r="J64" s="2" t="n"/>
      <c r="K64" s="2" t="n"/>
    </row>
    <row r="65" ht="15.75" customHeight="1" s="37">
      <c r="A65" s="2" t="n"/>
      <c r="B65" s="2" t="n"/>
      <c r="C65" s="2" t="n"/>
      <c r="D65" s="2" t="n"/>
      <c r="E65" s="2" t="n"/>
      <c r="F65" s="2" t="n"/>
      <c r="G65" s="2" t="n"/>
      <c r="H65" s="2" t="n"/>
      <c r="I65" s="2" t="n"/>
      <c r="J65" s="2" t="n"/>
      <c r="K65" s="2" t="n"/>
    </row>
    <row r="66" ht="15.75" customHeight="1" s="37">
      <c r="A66" s="2" t="n"/>
      <c r="B66" s="2" t="n"/>
      <c r="C66" s="2" t="n"/>
      <c r="D66" s="2" t="n"/>
      <c r="E66" s="2" t="n"/>
      <c r="F66" s="2" t="n"/>
      <c r="G66" s="2" t="n"/>
      <c r="H66" s="2" t="n"/>
      <c r="I66" s="2" t="n"/>
      <c r="J66" s="2" t="n"/>
      <c r="K66" s="2" t="n"/>
    </row>
    <row r="67" ht="15.75" customHeight="1" s="37">
      <c r="A67" s="2" t="n"/>
      <c r="B67" s="2" t="n"/>
      <c r="C67" s="2" t="n"/>
      <c r="D67" s="2" t="n"/>
      <c r="E67" s="2" t="n"/>
      <c r="F67" s="2" t="n"/>
      <c r="G67" s="2" t="n"/>
      <c r="H67" s="2" t="n"/>
      <c r="I67" s="2" t="n"/>
      <c r="J67" s="2" t="n"/>
      <c r="K67" s="2" t="n"/>
    </row>
    <row r="68" ht="15.75" customHeight="1" s="37">
      <c r="A68" s="2" t="n"/>
      <c r="B68" s="2" t="n"/>
      <c r="C68" s="2" t="n"/>
      <c r="D68" s="2" t="n"/>
      <c r="E68" s="2" t="n"/>
      <c r="F68" s="2" t="n"/>
      <c r="G68" s="2" t="n"/>
      <c r="H68" s="2" t="n"/>
      <c r="I68" s="2" t="n"/>
      <c r="J68" s="2" t="n"/>
      <c r="K68" s="2" t="n"/>
    </row>
    <row r="69" ht="15.75" customHeight="1" s="37">
      <c r="A69" s="2" t="n"/>
      <c r="B69" s="2" t="n"/>
      <c r="C69" s="2" t="n"/>
      <c r="D69" s="2" t="n"/>
      <c r="E69" s="2" t="n"/>
      <c r="F69" s="2" t="n"/>
      <c r="G69" s="2" t="n"/>
      <c r="H69" s="2" t="n"/>
      <c r="I69" s="2" t="n"/>
      <c r="J69" s="2" t="n"/>
      <c r="K69" s="2" t="n"/>
    </row>
    <row r="70" ht="15.75" customHeight="1" s="37">
      <c r="A70" s="2" t="n"/>
      <c r="B70" s="2" t="n"/>
      <c r="C70" s="2" t="n"/>
      <c r="D70" s="2" t="n"/>
      <c r="E70" s="2" t="n"/>
      <c r="F70" s="2" t="n"/>
      <c r="G70" s="2" t="n"/>
      <c r="H70" s="2" t="n"/>
      <c r="I70" s="2" t="n"/>
      <c r="J70" s="2" t="n"/>
      <c r="K70" s="2" t="n"/>
    </row>
    <row r="71" ht="15.75" customHeight="1" s="37">
      <c r="A71" s="2" t="n"/>
      <c r="B71" s="2" t="n"/>
      <c r="C71" s="2" t="n"/>
      <c r="D71" s="2" t="n"/>
      <c r="E71" s="2" t="n"/>
      <c r="F71" s="2" t="n"/>
      <c r="G71" s="2" t="n"/>
      <c r="H71" s="2" t="n"/>
      <c r="I71" s="2" t="n"/>
      <c r="J71" s="2" t="n"/>
      <c r="K71" s="2" t="n"/>
    </row>
    <row r="72" ht="15.75" customHeight="1" s="37">
      <c r="A72" s="2" t="n"/>
      <c r="B72" s="2" t="n"/>
      <c r="C72" s="2" t="n"/>
      <c r="D72" s="2" t="n"/>
      <c r="E72" s="2" t="n"/>
      <c r="F72" s="2" t="n"/>
      <c r="G72" s="2" t="n"/>
      <c r="H72" s="2" t="n"/>
      <c r="I72" s="2" t="n"/>
      <c r="J72" s="2" t="n"/>
      <c r="K72" s="2" t="n"/>
    </row>
    <row r="73" ht="15.75" customHeight="1" s="37">
      <c r="A73" s="2" t="n"/>
      <c r="B73" s="2" t="n"/>
      <c r="C73" s="2" t="n"/>
      <c r="D73" s="2" t="n"/>
      <c r="E73" s="2" t="n"/>
      <c r="F73" s="2" t="n"/>
      <c r="G73" s="2" t="n"/>
      <c r="H73" s="2" t="n"/>
      <c r="I73" s="2" t="n"/>
      <c r="J73" s="2" t="n"/>
      <c r="K73" s="2" t="n"/>
    </row>
    <row r="74" ht="15.75" customHeight="1" s="37">
      <c r="A74" s="2" t="n"/>
      <c r="B74" s="2" t="n"/>
      <c r="C74" s="2" t="n"/>
      <c r="D74" s="2" t="n"/>
      <c r="E74" s="2" t="n"/>
      <c r="F74" s="2" t="n"/>
      <c r="G74" s="2" t="n"/>
      <c r="H74" s="2" t="n"/>
      <c r="I74" s="2" t="n"/>
      <c r="J74" s="2" t="n"/>
      <c r="K74" s="2" t="n"/>
    </row>
    <row r="75" ht="15.75" customHeight="1" s="37">
      <c r="A75" s="2" t="n"/>
      <c r="B75" s="2" t="n"/>
      <c r="C75" s="2" t="n"/>
      <c r="D75" s="2" t="n"/>
      <c r="E75" s="2" t="n"/>
      <c r="F75" s="2" t="n"/>
      <c r="G75" s="2" t="n"/>
      <c r="H75" s="2" t="n"/>
      <c r="I75" s="2" t="n"/>
      <c r="J75" s="2" t="n"/>
      <c r="K75" s="2" t="n"/>
    </row>
    <row r="76" ht="15.75" customHeight="1" s="37">
      <c r="A76" s="2" t="n"/>
      <c r="B76" s="2" t="n"/>
      <c r="C76" s="2" t="n"/>
      <c r="D76" s="2" t="n"/>
      <c r="E76" s="2" t="n"/>
      <c r="F76" s="2" t="n"/>
      <c r="G76" s="2" t="n"/>
      <c r="H76" s="2" t="n"/>
      <c r="I76" s="2" t="n"/>
      <c r="J76" s="2" t="n"/>
      <c r="K76" s="2" t="n"/>
    </row>
    <row r="77" ht="15.75" customHeight="1" s="37">
      <c r="A77" s="2" t="n"/>
      <c r="B77" s="2" t="n"/>
      <c r="C77" s="2" t="n"/>
      <c r="D77" s="2" t="n"/>
      <c r="E77" s="2" t="n"/>
      <c r="F77" s="2" t="n"/>
      <c r="G77" s="2" t="n"/>
      <c r="H77" s="2" t="n"/>
      <c r="I77" s="2" t="n"/>
      <c r="J77" s="2" t="n"/>
      <c r="K77" s="2" t="n"/>
    </row>
    <row r="78" ht="15.75" customHeight="1" s="37">
      <c r="A78" s="2" t="n"/>
      <c r="B78" s="2" t="n"/>
      <c r="C78" s="2" t="n"/>
      <c r="D78" s="2" t="n"/>
      <c r="E78" s="2" t="n"/>
      <c r="F78" s="2" t="n"/>
      <c r="G78" s="2" t="n"/>
      <c r="H78" s="2" t="n"/>
      <c r="I78" s="2" t="n"/>
      <c r="J78" s="2" t="n"/>
      <c r="K78" s="2" t="n"/>
    </row>
    <row r="79" ht="15.75" customHeight="1" s="37">
      <c r="A79" s="2" t="n"/>
      <c r="B79" s="2" t="n"/>
      <c r="C79" s="2" t="n"/>
      <c r="D79" s="2" t="n"/>
      <c r="E79" s="2" t="n"/>
      <c r="F79" s="2" t="n"/>
      <c r="G79" s="2" t="n"/>
      <c r="H79" s="2" t="n"/>
      <c r="I79" s="2" t="n"/>
      <c r="J79" s="2" t="n"/>
      <c r="K79" s="2" t="n"/>
    </row>
    <row r="80" ht="15.75" customHeight="1" s="37">
      <c r="A80" s="2" t="n"/>
      <c r="B80" s="2" t="n"/>
      <c r="C80" s="2" t="n"/>
      <c r="D80" s="2" t="n"/>
      <c r="E80" s="2" t="n"/>
      <c r="F80" s="2" t="n"/>
      <c r="G80" s="2" t="n"/>
      <c r="H80" s="2" t="n"/>
      <c r="I80" s="2" t="n"/>
      <c r="J80" s="2" t="n"/>
      <c r="K80" s="2" t="n"/>
    </row>
    <row r="81" ht="15.75" customHeight="1" s="37">
      <c r="A81" s="2" t="n"/>
      <c r="B81" s="2" t="n"/>
      <c r="C81" s="2" t="n"/>
      <c r="D81" s="2" t="n"/>
      <c r="E81" s="2" t="n"/>
      <c r="F81" s="2" t="n"/>
      <c r="G81" s="2" t="n"/>
      <c r="H81" s="2" t="n"/>
      <c r="I81" s="2" t="n"/>
      <c r="J81" s="2" t="n"/>
      <c r="K81" s="2" t="n"/>
    </row>
    <row r="82" ht="15.75" customHeight="1" s="37">
      <c r="A82" s="2" t="n"/>
      <c r="B82" s="2" t="n"/>
      <c r="C82" s="2" t="n"/>
      <c r="D82" s="2" t="n"/>
      <c r="E82" s="2" t="n"/>
      <c r="F82" s="2" t="n"/>
      <c r="G82" s="2" t="n"/>
      <c r="H82" s="2" t="n"/>
      <c r="I82" s="2" t="n"/>
      <c r="J82" s="2" t="n"/>
      <c r="K82" s="2" t="n"/>
    </row>
    <row r="83" ht="15.75" customHeight="1" s="37">
      <c r="A83" s="2" t="n"/>
      <c r="B83" s="2" t="n"/>
      <c r="C83" s="2" t="n"/>
      <c r="D83" s="2" t="n"/>
      <c r="E83" s="2" t="n"/>
      <c r="F83" s="2" t="n"/>
      <c r="G83" s="2" t="n"/>
      <c r="H83" s="2" t="n"/>
      <c r="I83" s="2" t="n"/>
      <c r="J83" s="2" t="n"/>
      <c r="K83" s="2" t="n"/>
    </row>
    <row r="84" ht="15.75" customHeight="1" s="37">
      <c r="A84" s="2" t="n"/>
      <c r="B84" s="2" t="n"/>
      <c r="C84" s="2" t="n"/>
      <c r="D84" s="2" t="n"/>
      <c r="E84" s="2" t="n"/>
      <c r="F84" s="2" t="n"/>
      <c r="G84" s="2" t="n"/>
      <c r="H84" s="2" t="n"/>
      <c r="I84" s="2" t="n"/>
      <c r="J84" s="2" t="n"/>
      <c r="K84" s="2" t="n"/>
    </row>
    <row r="85" ht="15.75" customHeight="1" s="37">
      <c r="A85" s="2" t="n"/>
      <c r="B85" s="2" t="n"/>
      <c r="C85" s="2" t="n"/>
      <c r="D85" s="2" t="n"/>
      <c r="E85" s="2" t="n"/>
      <c r="F85" s="2" t="n"/>
      <c r="G85" s="2" t="n"/>
      <c r="H85" s="2" t="n"/>
      <c r="I85" s="2" t="n"/>
      <c r="J85" s="2" t="n"/>
      <c r="K85" s="2" t="n"/>
    </row>
    <row r="86" ht="15.75" customHeight="1" s="37">
      <c r="A86" s="2" t="n"/>
      <c r="B86" s="2" t="n"/>
      <c r="C86" s="2" t="n"/>
      <c r="D86" s="2" t="n"/>
      <c r="E86" s="2" t="n"/>
      <c r="F86" s="2" t="n"/>
      <c r="G86" s="2" t="n"/>
      <c r="H86" s="2" t="n"/>
      <c r="I86" s="2" t="n"/>
      <c r="J86" s="2" t="n"/>
      <c r="K86" s="2" t="n"/>
    </row>
    <row r="87" ht="15.75" customHeight="1" s="37">
      <c r="A87" s="2" t="n"/>
      <c r="B87" s="2" t="n"/>
      <c r="C87" s="2" t="n"/>
      <c r="D87" s="2" t="n"/>
      <c r="E87" s="2" t="n"/>
      <c r="F87" s="2" t="n"/>
      <c r="G87" s="2" t="n"/>
      <c r="H87" s="2" t="n"/>
      <c r="I87" s="2" t="n"/>
      <c r="J87" s="2" t="n"/>
      <c r="K87" s="2" t="n"/>
    </row>
    <row r="88" ht="15.75" customHeight="1" s="37">
      <c r="A88" s="2" t="n"/>
      <c r="B88" s="2" t="n"/>
      <c r="C88" s="2" t="n"/>
      <c r="D88" s="2" t="n"/>
      <c r="E88" s="2" t="n"/>
      <c r="F88" s="2" t="n"/>
      <c r="G88" s="2" t="n"/>
      <c r="H88" s="2" t="n"/>
      <c r="I88" s="2" t="n"/>
      <c r="J88" s="2" t="n"/>
      <c r="K88" s="2" t="n"/>
    </row>
    <row r="89" ht="15.75" customHeight="1" s="37">
      <c r="A89" s="2" t="n"/>
      <c r="B89" s="2" t="n"/>
      <c r="C89" s="2" t="n"/>
      <c r="D89" s="2" t="n"/>
      <c r="E89" s="2" t="n"/>
      <c r="F89" s="2" t="n"/>
      <c r="G89" s="2" t="n"/>
      <c r="H89" s="2" t="n"/>
      <c r="I89" s="2" t="n"/>
      <c r="J89" s="2" t="n"/>
      <c r="K89" s="2" t="n"/>
    </row>
    <row r="90" ht="15.75" customHeight="1" s="37">
      <c r="A90" s="2" t="n"/>
      <c r="B90" s="2" t="n"/>
      <c r="C90" s="2" t="n"/>
      <c r="D90" s="2" t="n"/>
      <c r="E90" s="2" t="n"/>
      <c r="F90" s="2" t="n"/>
      <c r="G90" s="2" t="n"/>
      <c r="H90" s="2" t="n"/>
      <c r="I90" s="2" t="n"/>
      <c r="J90" s="2" t="n"/>
      <c r="K90" s="2" t="n"/>
    </row>
    <row r="91" ht="15.75" customHeight="1" s="37">
      <c r="A91" s="2" t="n"/>
      <c r="B91" s="2" t="n"/>
      <c r="C91" s="2" t="n"/>
      <c r="D91" s="2" t="n"/>
      <c r="E91" s="2" t="n"/>
      <c r="F91" s="2" t="n"/>
      <c r="G91" s="2" t="n"/>
      <c r="H91" s="2" t="n"/>
      <c r="I91" s="2" t="n"/>
      <c r="J91" s="2" t="n"/>
      <c r="K91" s="2" t="n"/>
    </row>
    <row r="92" ht="15.75" customHeight="1" s="37">
      <c r="A92" s="2" t="n"/>
      <c r="B92" s="2" t="n"/>
      <c r="C92" s="2" t="n"/>
      <c r="D92" s="2" t="n"/>
      <c r="E92" s="2" t="n"/>
      <c r="F92" s="2" t="n"/>
      <c r="G92" s="2" t="n"/>
      <c r="H92" s="2" t="n"/>
      <c r="I92" s="2" t="n"/>
      <c r="J92" s="2" t="n"/>
      <c r="K92" s="2" t="n"/>
    </row>
    <row r="93" ht="15.75" customHeight="1" s="37">
      <c r="A93" s="2" t="n"/>
      <c r="B93" s="2" t="n"/>
      <c r="C93" s="2" t="n"/>
      <c r="D93" s="2" t="n"/>
      <c r="E93" s="2" t="n"/>
      <c r="F93" s="2" t="n"/>
      <c r="G93" s="2" t="n"/>
      <c r="H93" s="2" t="n"/>
      <c r="I93" s="2" t="n"/>
      <c r="J93" s="2" t="n"/>
      <c r="K93" s="2" t="n"/>
    </row>
    <row r="94" ht="15.75" customHeight="1" s="37">
      <c r="A94" s="2" t="n"/>
      <c r="B94" s="2" t="n"/>
      <c r="C94" s="2" t="n"/>
      <c r="D94" s="2" t="n"/>
      <c r="E94" s="2" t="n"/>
      <c r="F94" s="2" t="n"/>
      <c r="G94" s="2" t="n"/>
      <c r="H94" s="2" t="n"/>
      <c r="I94" s="2" t="n"/>
      <c r="J94" s="2" t="n"/>
      <c r="K94" s="2" t="n"/>
    </row>
    <row r="95" ht="15.75" customHeight="1" s="37">
      <c r="A95" s="2" t="n"/>
      <c r="B95" s="2" t="n"/>
      <c r="C95" s="2" t="n"/>
      <c r="D95" s="2" t="n"/>
      <c r="E95" s="2" t="n"/>
      <c r="F95" s="2" t="n"/>
      <c r="G95" s="2" t="n"/>
      <c r="H95" s="2" t="n"/>
      <c r="I95" s="2" t="n"/>
      <c r="J95" s="2" t="n"/>
      <c r="K95" s="2" t="n"/>
    </row>
    <row r="96" ht="15.75" customHeight="1" s="37">
      <c r="A96" s="2" t="n"/>
      <c r="B96" s="2" t="n"/>
      <c r="C96" s="2" t="n"/>
      <c r="D96" s="2" t="n"/>
      <c r="E96" s="2" t="n"/>
      <c r="F96" s="2" t="n"/>
      <c r="G96" s="2" t="n"/>
      <c r="H96" s="2" t="n"/>
      <c r="I96" s="2" t="n"/>
      <c r="J96" s="2" t="n"/>
      <c r="K96" s="2" t="n"/>
    </row>
    <row r="97" ht="15.75" customHeight="1" s="37">
      <c r="A97" s="2" t="n"/>
      <c r="B97" s="2" t="n"/>
      <c r="C97" s="2" t="n"/>
      <c r="D97" s="2" t="n"/>
      <c r="E97" s="2" t="n"/>
      <c r="F97" s="2" t="n"/>
      <c r="G97" s="2" t="n"/>
      <c r="H97" s="2" t="n"/>
      <c r="I97" s="2" t="n"/>
      <c r="J97" s="2" t="n"/>
      <c r="K97" s="2" t="n"/>
    </row>
    <row r="98" ht="15.75" customHeight="1" s="37">
      <c r="A98" s="2" t="n"/>
      <c r="B98" s="2" t="n"/>
      <c r="C98" s="2" t="n"/>
      <c r="D98" s="2" t="n"/>
      <c r="E98" s="2" t="n"/>
      <c r="F98" s="2" t="n"/>
      <c r="G98" s="2" t="n"/>
      <c r="H98" s="2" t="n"/>
      <c r="I98" s="2" t="n"/>
      <c r="J98" s="2" t="n"/>
      <c r="K98" s="2" t="n"/>
    </row>
    <row r="99" ht="15.75" customHeight="1" s="37">
      <c r="A99" s="2" t="n"/>
      <c r="B99" s="2" t="n"/>
      <c r="C99" s="2" t="n"/>
      <c r="D99" s="2" t="n"/>
      <c r="E99" s="2" t="n"/>
      <c r="F99" s="2" t="n"/>
      <c r="G99" s="2" t="n"/>
      <c r="H99" s="2" t="n"/>
      <c r="I99" s="2" t="n"/>
      <c r="J99" s="2" t="n"/>
      <c r="K99" s="2" t="n"/>
    </row>
    <row r="100" ht="15.75" customHeight="1" s="37">
      <c r="A100" s="2" t="n"/>
      <c r="B100" s="2" t="n"/>
      <c r="C100" s="2" t="n"/>
      <c r="D100" s="2" t="n"/>
      <c r="E100" s="2" t="n"/>
      <c r="F100" s="2" t="n"/>
      <c r="G100" s="2" t="n"/>
      <c r="H100" s="2" t="n"/>
      <c r="I100" s="2" t="n"/>
      <c r="J100" s="2" t="n"/>
      <c r="K100" s="2" t="n"/>
    </row>
    <row r="101" ht="15.75" customHeight="1" s="37">
      <c r="A101" s="2" t="n"/>
      <c r="B101" s="2" t="n"/>
      <c r="C101" s="2" t="n"/>
      <c r="D101" s="2" t="n"/>
      <c r="E101" s="2" t="n"/>
      <c r="F101" s="2" t="n"/>
      <c r="G101" s="2" t="n"/>
      <c r="H101" s="2" t="n"/>
      <c r="I101" s="2" t="n"/>
      <c r="J101" s="2" t="n"/>
      <c r="K101" s="2" t="n"/>
    </row>
    <row r="102" ht="15.75" customHeight="1" s="37">
      <c r="A102" s="2" t="n"/>
      <c r="B102" s="2" t="n"/>
      <c r="C102" s="2" t="n"/>
      <c r="D102" s="2" t="n"/>
      <c r="E102" s="2" t="n"/>
      <c r="F102" s="2" t="n"/>
      <c r="G102" s="2" t="n"/>
      <c r="H102" s="2" t="n"/>
      <c r="I102" s="2" t="n"/>
      <c r="J102" s="2" t="n"/>
      <c r="K102" s="2" t="n"/>
    </row>
    <row r="103" ht="15.75" customHeight="1" s="37">
      <c r="A103" s="2" t="n"/>
      <c r="B103" s="2" t="n"/>
      <c r="C103" s="2" t="n"/>
      <c r="D103" s="2" t="n"/>
      <c r="E103" s="2" t="n"/>
      <c r="F103" s="2" t="n"/>
      <c r="G103" s="2" t="n"/>
      <c r="H103" s="2" t="n"/>
      <c r="I103" s="2" t="n"/>
      <c r="J103" s="2" t="n"/>
      <c r="K103" s="2" t="n"/>
    </row>
    <row r="104" ht="15.75" customHeight="1" s="37">
      <c r="A104" s="2" t="n"/>
      <c r="B104" s="2" t="n"/>
      <c r="C104" s="2" t="n"/>
      <c r="D104" s="2" t="n"/>
      <c r="E104" s="2" t="n"/>
      <c r="F104" s="2" t="n"/>
      <c r="G104" s="2" t="n"/>
      <c r="H104" s="2" t="n"/>
      <c r="I104" s="2" t="n"/>
      <c r="J104" s="2" t="n"/>
      <c r="K104" s="2" t="n"/>
    </row>
    <row r="105" ht="15.75" customHeight="1" s="37">
      <c r="A105" s="2" t="n"/>
      <c r="B105" s="2" t="n"/>
      <c r="C105" s="2" t="n"/>
      <c r="D105" s="2" t="n"/>
      <c r="E105" s="2" t="n"/>
      <c r="F105" s="2" t="n"/>
      <c r="G105" s="2" t="n"/>
      <c r="H105" s="2" t="n"/>
      <c r="I105" s="2" t="n"/>
      <c r="J105" s="2" t="n"/>
      <c r="K105" s="2" t="n"/>
    </row>
    <row r="106" ht="15.75" customHeight="1" s="37">
      <c r="A106" s="2" t="n"/>
      <c r="B106" s="2" t="n"/>
      <c r="C106" s="2" t="n"/>
      <c r="D106" s="2" t="n"/>
      <c r="E106" s="2" t="n"/>
      <c r="F106" s="2" t="n"/>
      <c r="G106" s="2" t="n"/>
      <c r="H106" s="2" t="n"/>
      <c r="I106" s="2" t="n"/>
      <c r="J106" s="2" t="n"/>
      <c r="K106" s="2" t="n"/>
    </row>
    <row r="107" ht="15.75" customHeight="1" s="37">
      <c r="A107" s="2" t="n"/>
      <c r="B107" s="2" t="n"/>
      <c r="C107" s="2" t="n"/>
      <c r="D107" s="2" t="n"/>
      <c r="E107" s="2" t="n"/>
      <c r="F107" s="2" t="n"/>
      <c r="G107" s="2" t="n"/>
      <c r="H107" s="2" t="n"/>
      <c r="I107" s="2" t="n"/>
      <c r="J107" s="2" t="n"/>
      <c r="K107" s="2" t="n"/>
    </row>
    <row r="108" ht="15.75" customHeight="1" s="37">
      <c r="A108" s="2" t="n"/>
      <c r="B108" s="2" t="n"/>
      <c r="C108" s="2" t="n"/>
      <c r="D108" s="2" t="n"/>
      <c r="E108" s="2" t="n"/>
      <c r="F108" s="2" t="n"/>
      <c r="G108" s="2" t="n"/>
      <c r="H108" s="2" t="n"/>
      <c r="I108" s="2" t="n"/>
      <c r="J108" s="2" t="n"/>
      <c r="K108" s="2" t="n"/>
    </row>
    <row r="109" ht="15.75" customHeight="1" s="37">
      <c r="A109" s="2" t="n"/>
      <c r="B109" s="2" t="n"/>
      <c r="C109" s="2" t="n"/>
      <c r="D109" s="2" t="n"/>
      <c r="E109" s="2" t="n"/>
      <c r="F109" s="2" t="n"/>
      <c r="G109" s="2" t="n"/>
      <c r="H109" s="2" t="n"/>
      <c r="I109" s="2" t="n"/>
      <c r="J109" s="2" t="n"/>
      <c r="K109" s="2" t="n"/>
    </row>
    <row r="110" ht="15.75" customHeight="1" s="37">
      <c r="A110" s="2" t="n"/>
      <c r="B110" s="2" t="n"/>
      <c r="C110" s="2" t="n"/>
      <c r="D110" s="2" t="n"/>
      <c r="E110" s="2" t="n"/>
      <c r="F110" s="2" t="n"/>
      <c r="G110" s="2" t="n"/>
      <c r="H110" s="2" t="n"/>
      <c r="I110" s="2" t="n"/>
      <c r="J110" s="2" t="n"/>
      <c r="K110" s="2" t="n"/>
    </row>
    <row r="111" ht="15.75" customHeight="1" s="37">
      <c r="A111" s="2" t="n"/>
      <c r="B111" s="2" t="n"/>
      <c r="C111" s="2" t="n"/>
      <c r="D111" s="2" t="n"/>
      <c r="E111" s="2" t="n"/>
      <c r="F111" s="2" t="n"/>
      <c r="G111" s="2" t="n"/>
      <c r="H111" s="2" t="n"/>
      <c r="I111" s="2" t="n"/>
      <c r="J111" s="2" t="n"/>
      <c r="K111" s="2" t="n"/>
    </row>
    <row r="112" ht="15.75" customHeight="1" s="37">
      <c r="A112" s="2" t="n"/>
      <c r="B112" s="2" t="n"/>
      <c r="C112" s="2" t="n"/>
      <c r="D112" s="2" t="n"/>
      <c r="E112" s="2" t="n"/>
      <c r="F112" s="2" t="n"/>
      <c r="G112" s="2" t="n"/>
      <c r="H112" s="2" t="n"/>
      <c r="I112" s="2" t="n"/>
      <c r="J112" s="2" t="n"/>
      <c r="K112" s="2" t="n"/>
    </row>
    <row r="113" ht="15.75" customHeight="1" s="37">
      <c r="A113" s="2" t="n"/>
      <c r="B113" s="2" t="n"/>
      <c r="C113" s="2" t="n"/>
      <c r="D113" s="2" t="n"/>
      <c r="E113" s="2" t="n"/>
      <c r="F113" s="2" t="n"/>
      <c r="G113" s="2" t="n"/>
      <c r="H113" s="2" t="n"/>
      <c r="I113" s="2" t="n"/>
      <c r="J113" s="2" t="n"/>
      <c r="K113" s="2" t="n"/>
    </row>
    <row r="114" ht="15.75" customHeight="1" s="37">
      <c r="A114" s="2" t="n"/>
      <c r="B114" s="2" t="n"/>
      <c r="C114" s="2" t="n"/>
      <c r="D114" s="2" t="n"/>
      <c r="E114" s="2" t="n"/>
      <c r="F114" s="2" t="n"/>
      <c r="G114" s="2" t="n"/>
      <c r="H114" s="2" t="n"/>
      <c r="I114" s="2" t="n"/>
      <c r="J114" s="2" t="n"/>
      <c r="K114" s="2" t="n"/>
    </row>
    <row r="115" ht="15.75" customHeight="1" s="37">
      <c r="A115" s="2" t="n"/>
      <c r="B115" s="2" t="n"/>
      <c r="C115" s="2" t="n"/>
      <c r="D115" s="2" t="n"/>
      <c r="E115" s="2" t="n"/>
      <c r="F115" s="2" t="n"/>
      <c r="G115" s="2" t="n"/>
      <c r="H115" s="2" t="n"/>
      <c r="I115" s="2" t="n"/>
      <c r="J115" s="2" t="n"/>
      <c r="K115" s="2" t="n"/>
    </row>
    <row r="116" ht="15.75" customHeight="1" s="37">
      <c r="A116" s="2" t="n"/>
      <c r="B116" s="2" t="n"/>
      <c r="C116" s="2" t="n"/>
      <c r="D116" s="2" t="n"/>
      <c r="E116" s="2" t="n"/>
      <c r="F116" s="2" t="n"/>
      <c r="G116" s="2" t="n"/>
      <c r="H116" s="2" t="n"/>
      <c r="I116" s="2" t="n"/>
      <c r="J116" s="2" t="n"/>
      <c r="K116" s="2" t="n"/>
    </row>
    <row r="117" ht="15.75" customHeight="1" s="37">
      <c r="A117" s="2" t="n"/>
      <c r="B117" s="2" t="n"/>
      <c r="C117" s="2" t="n"/>
      <c r="D117" s="2" t="n"/>
      <c r="E117" s="2" t="n"/>
      <c r="F117" s="2" t="n"/>
      <c r="G117" s="2" t="n"/>
      <c r="H117" s="2" t="n"/>
      <c r="I117" s="2" t="n"/>
      <c r="J117" s="2" t="n"/>
      <c r="K117" s="2" t="n"/>
    </row>
    <row r="118" ht="15.75" customHeight="1" s="37">
      <c r="A118" s="2" t="n"/>
      <c r="B118" s="2" t="n"/>
      <c r="C118" s="2" t="n"/>
      <c r="D118" s="2" t="n"/>
      <c r="E118" s="2" t="n"/>
      <c r="F118" s="2" t="n"/>
      <c r="G118" s="2" t="n"/>
      <c r="H118" s="2" t="n"/>
      <c r="I118" s="2" t="n"/>
      <c r="J118" s="2" t="n"/>
      <c r="K118" s="2" t="n"/>
    </row>
    <row r="119" ht="15.75" customHeight="1" s="37">
      <c r="A119" s="2" t="n"/>
      <c r="B119" s="2" t="n"/>
      <c r="C119" s="2" t="n"/>
      <c r="D119" s="2" t="n"/>
      <c r="E119" s="2" t="n"/>
      <c r="F119" s="2" t="n"/>
      <c r="G119" s="2" t="n"/>
      <c r="H119" s="2" t="n"/>
      <c r="I119" s="2" t="n"/>
      <c r="J119" s="2" t="n"/>
      <c r="K119" s="2" t="n"/>
    </row>
    <row r="120" ht="15.75" customHeight="1" s="37">
      <c r="A120" s="2" t="n"/>
      <c r="B120" s="2" t="n"/>
      <c r="C120" s="2" t="n"/>
      <c r="D120" s="2" t="n"/>
      <c r="E120" s="2" t="n"/>
      <c r="F120" s="2" t="n"/>
      <c r="G120" s="2" t="n"/>
      <c r="H120" s="2" t="n"/>
      <c r="I120" s="2" t="n"/>
      <c r="J120" s="2" t="n"/>
      <c r="K120" s="2" t="n"/>
    </row>
    <row r="121" ht="15.75" customHeight="1" s="37">
      <c r="A121" s="2" t="n"/>
      <c r="B121" s="2" t="n"/>
      <c r="C121" s="2" t="n"/>
      <c r="D121" s="2" t="n"/>
      <c r="E121" s="2" t="n"/>
      <c r="F121" s="2" t="n"/>
      <c r="G121" s="2" t="n"/>
      <c r="H121" s="2" t="n"/>
      <c r="I121" s="2" t="n"/>
      <c r="J121" s="2" t="n"/>
      <c r="K121" s="2" t="n"/>
    </row>
    <row r="122" ht="15.75" customHeight="1" s="37">
      <c r="A122" s="2" t="n"/>
      <c r="B122" s="2" t="n"/>
      <c r="C122" s="2" t="n"/>
      <c r="D122" s="2" t="n"/>
      <c r="E122" s="2" t="n"/>
      <c r="F122" s="2" t="n"/>
      <c r="G122" s="2" t="n"/>
      <c r="H122" s="2" t="n"/>
      <c r="I122" s="2" t="n"/>
      <c r="J122" s="2" t="n"/>
      <c r="K122" s="2" t="n"/>
    </row>
    <row r="123" ht="15.75" customHeight="1" s="37">
      <c r="A123" s="2" t="n"/>
      <c r="B123" s="2" t="n"/>
      <c r="C123" s="2" t="n"/>
      <c r="D123" s="2" t="n"/>
      <c r="E123" s="2" t="n"/>
      <c r="F123" s="2" t="n"/>
      <c r="G123" s="2" t="n"/>
      <c r="H123" s="2" t="n"/>
      <c r="I123" s="2" t="n"/>
      <c r="J123" s="2" t="n"/>
      <c r="K123" s="2" t="n"/>
    </row>
    <row r="124" ht="15.75" customHeight="1" s="37">
      <c r="A124" s="2" t="n"/>
      <c r="B124" s="2" t="n"/>
      <c r="C124" s="2" t="n"/>
      <c r="D124" s="2" t="n"/>
      <c r="E124" s="2" t="n"/>
      <c r="F124" s="2" t="n"/>
      <c r="G124" s="2" t="n"/>
      <c r="H124" s="2" t="n"/>
      <c r="I124" s="2" t="n"/>
      <c r="J124" s="2" t="n"/>
      <c r="K124" s="2" t="n"/>
    </row>
    <row r="125" ht="15.75" customHeight="1" s="37">
      <c r="A125" s="2" t="n"/>
      <c r="B125" s="2" t="n"/>
      <c r="C125" s="2" t="n"/>
      <c r="D125" s="2" t="n"/>
      <c r="E125" s="2" t="n"/>
      <c r="F125" s="2" t="n"/>
      <c r="G125" s="2" t="n"/>
      <c r="H125" s="2" t="n"/>
      <c r="I125" s="2" t="n"/>
      <c r="J125" s="2" t="n"/>
      <c r="K125" s="2" t="n"/>
    </row>
    <row r="126" ht="15.75" customHeight="1" s="37">
      <c r="A126" s="2" t="n"/>
      <c r="B126" s="2" t="n"/>
      <c r="C126" s="2" t="n"/>
      <c r="D126" s="2" t="n"/>
      <c r="E126" s="2" t="n"/>
      <c r="F126" s="2" t="n"/>
      <c r="G126" s="2" t="n"/>
      <c r="H126" s="2" t="n"/>
      <c r="I126" s="2" t="n"/>
      <c r="J126" s="2" t="n"/>
      <c r="K126" s="2" t="n"/>
    </row>
    <row r="127" ht="15.75" customHeight="1" s="37">
      <c r="A127" s="2" t="n"/>
      <c r="B127" s="2" t="n"/>
      <c r="C127" s="2" t="n"/>
      <c r="D127" s="2" t="n"/>
      <c r="E127" s="2" t="n"/>
      <c r="F127" s="2" t="n"/>
      <c r="G127" s="2" t="n"/>
      <c r="H127" s="2" t="n"/>
      <c r="I127" s="2" t="n"/>
      <c r="J127" s="2" t="n"/>
      <c r="K127" s="2" t="n"/>
    </row>
    <row r="128" ht="15.75" customHeight="1" s="37">
      <c r="A128" s="2" t="n"/>
      <c r="B128" s="2" t="n"/>
      <c r="C128" s="2" t="n"/>
      <c r="D128" s="2" t="n"/>
      <c r="E128" s="2" t="n"/>
      <c r="F128" s="2" t="n"/>
      <c r="G128" s="2" t="n"/>
      <c r="H128" s="2" t="n"/>
      <c r="I128" s="2" t="n"/>
      <c r="J128" s="2" t="n"/>
      <c r="K128" s="2" t="n"/>
    </row>
    <row r="129" ht="15.75" customHeight="1" s="37">
      <c r="A129" s="2" t="n"/>
      <c r="B129" s="2" t="n"/>
      <c r="C129" s="2" t="n"/>
      <c r="D129" s="2" t="n"/>
      <c r="E129" s="2" t="n"/>
      <c r="F129" s="2" t="n"/>
      <c r="G129" s="2" t="n"/>
      <c r="H129" s="2" t="n"/>
      <c r="I129" s="2" t="n"/>
      <c r="J129" s="2" t="n"/>
      <c r="K129" s="2" t="n"/>
    </row>
    <row r="130" ht="15.75" customHeight="1" s="37">
      <c r="A130" s="2" t="n"/>
      <c r="B130" s="2" t="n"/>
      <c r="C130" s="2" t="n"/>
      <c r="D130" s="2" t="n"/>
      <c r="E130" s="2" t="n"/>
      <c r="F130" s="2" t="n"/>
      <c r="G130" s="2" t="n"/>
      <c r="H130" s="2" t="n"/>
      <c r="I130" s="2" t="n"/>
      <c r="J130" s="2" t="n"/>
      <c r="K130" s="2" t="n"/>
    </row>
    <row r="131" ht="15.75" customHeight="1" s="37">
      <c r="A131" s="2" t="n"/>
      <c r="B131" s="2" t="n"/>
      <c r="C131" s="2" t="n"/>
      <c r="D131" s="2" t="n"/>
      <c r="E131" s="2" t="n"/>
      <c r="F131" s="2" t="n"/>
      <c r="G131" s="2" t="n"/>
      <c r="H131" s="2" t="n"/>
      <c r="I131" s="2" t="n"/>
      <c r="J131" s="2" t="n"/>
      <c r="K131" s="2" t="n"/>
    </row>
    <row r="132" ht="15.75" customHeight="1" s="37">
      <c r="A132" s="2" t="n"/>
      <c r="B132" s="2" t="n"/>
      <c r="C132" s="2" t="n"/>
      <c r="D132" s="2" t="n"/>
      <c r="E132" s="2" t="n"/>
      <c r="F132" s="2" t="n"/>
      <c r="G132" s="2" t="n"/>
      <c r="H132" s="2" t="n"/>
      <c r="I132" s="2" t="n"/>
      <c r="J132" s="2" t="n"/>
      <c r="K132" s="2" t="n"/>
    </row>
    <row r="133" ht="15.75" customHeight="1" s="37">
      <c r="A133" s="2" t="n"/>
      <c r="B133" s="2" t="n"/>
      <c r="C133" s="2" t="n"/>
      <c r="D133" s="2" t="n"/>
      <c r="E133" s="2" t="n"/>
      <c r="F133" s="2" t="n"/>
      <c r="G133" s="2" t="n"/>
      <c r="H133" s="2" t="n"/>
      <c r="I133" s="2" t="n"/>
      <c r="J133" s="2" t="n"/>
      <c r="K133" s="2" t="n"/>
    </row>
    <row r="134" ht="15.75" customHeight="1" s="37">
      <c r="A134" s="2" t="n"/>
      <c r="B134" s="2" t="n"/>
      <c r="C134" s="2" t="n"/>
      <c r="D134" s="2" t="n"/>
      <c r="E134" s="2" t="n"/>
      <c r="F134" s="2" t="n"/>
      <c r="G134" s="2" t="n"/>
      <c r="H134" s="2" t="n"/>
      <c r="I134" s="2" t="n"/>
      <c r="J134" s="2" t="n"/>
      <c r="K134" s="2" t="n"/>
    </row>
    <row r="135" ht="15.75" customHeight="1" s="37">
      <c r="A135" s="2" t="n"/>
      <c r="B135" s="2" t="n"/>
      <c r="C135" s="2" t="n"/>
      <c r="D135" s="2" t="n"/>
      <c r="E135" s="2" t="n"/>
      <c r="F135" s="2" t="n"/>
      <c r="G135" s="2" t="n"/>
      <c r="H135" s="2" t="n"/>
      <c r="I135" s="2" t="n"/>
      <c r="J135" s="2" t="n"/>
      <c r="K135" s="2" t="n"/>
    </row>
    <row r="136" ht="15.75" customHeight="1" s="37">
      <c r="A136" s="2" t="n"/>
      <c r="B136" s="2" t="n"/>
      <c r="C136" s="2" t="n"/>
      <c r="D136" s="2" t="n"/>
      <c r="E136" s="2" t="n"/>
      <c r="F136" s="2" t="n"/>
      <c r="G136" s="2" t="n"/>
      <c r="H136" s="2" t="n"/>
      <c r="I136" s="2" t="n"/>
      <c r="J136" s="2" t="n"/>
      <c r="K136" s="2" t="n"/>
    </row>
    <row r="137" ht="15.75" customHeight="1" s="37">
      <c r="A137" s="2" t="n"/>
      <c r="B137" s="2" t="n"/>
      <c r="C137" s="2" t="n"/>
      <c r="D137" s="2" t="n"/>
      <c r="E137" s="2" t="n"/>
      <c r="F137" s="2" t="n"/>
      <c r="G137" s="2" t="n"/>
      <c r="H137" s="2" t="n"/>
      <c r="I137" s="2" t="n"/>
      <c r="J137" s="2" t="n"/>
      <c r="K137" s="2" t="n"/>
    </row>
    <row r="138" ht="15.75" customHeight="1" s="37">
      <c r="A138" s="2" t="n"/>
      <c r="B138" s="2" t="n"/>
      <c r="C138" s="2" t="n"/>
      <c r="D138" s="2" t="n"/>
      <c r="E138" s="2" t="n"/>
      <c r="F138" s="2" t="n"/>
      <c r="G138" s="2" t="n"/>
      <c r="H138" s="2" t="n"/>
      <c r="I138" s="2" t="n"/>
      <c r="J138" s="2" t="n"/>
      <c r="K138" s="2" t="n"/>
    </row>
    <row r="139" ht="15.75" customHeight="1" s="37">
      <c r="A139" s="2" t="n"/>
      <c r="B139" s="2" t="n"/>
      <c r="C139" s="2" t="n"/>
      <c r="D139" s="2" t="n"/>
      <c r="E139" s="2" t="n"/>
      <c r="F139" s="2" t="n"/>
      <c r="G139" s="2" t="n"/>
      <c r="H139" s="2" t="n"/>
      <c r="I139" s="2" t="n"/>
      <c r="J139" s="2" t="n"/>
      <c r="K139" s="2" t="n"/>
    </row>
    <row r="140" ht="15.75" customHeight="1" s="37">
      <c r="A140" s="2" t="n"/>
      <c r="B140" s="2" t="n"/>
      <c r="C140" s="2" t="n"/>
      <c r="D140" s="2" t="n"/>
      <c r="E140" s="2" t="n"/>
      <c r="F140" s="2" t="n"/>
      <c r="G140" s="2" t="n"/>
      <c r="H140" s="2" t="n"/>
      <c r="I140" s="2" t="n"/>
      <c r="J140" s="2" t="n"/>
      <c r="K140" s="2" t="n"/>
    </row>
    <row r="141" ht="15.75" customHeight="1" s="37">
      <c r="A141" s="2" t="n"/>
      <c r="B141" s="2" t="n"/>
      <c r="C141" s="2" t="n"/>
      <c r="D141" s="2" t="n"/>
      <c r="E141" s="2" t="n"/>
      <c r="F141" s="2" t="n"/>
      <c r="G141" s="2" t="n"/>
      <c r="H141" s="2" t="n"/>
      <c r="I141" s="2" t="n"/>
      <c r="J141" s="2" t="n"/>
      <c r="K141" s="2" t="n"/>
    </row>
    <row r="142" ht="15.75" customHeight="1" s="37">
      <c r="A142" s="2" t="n"/>
      <c r="B142" s="2" t="n"/>
      <c r="C142" s="2" t="n"/>
      <c r="D142" s="2" t="n"/>
      <c r="E142" s="2" t="n"/>
      <c r="F142" s="2" t="n"/>
      <c r="G142" s="2" t="n"/>
      <c r="H142" s="2" t="n"/>
      <c r="I142" s="2" t="n"/>
      <c r="J142" s="2" t="n"/>
      <c r="K142" s="2" t="n"/>
    </row>
    <row r="143" ht="15.75" customHeight="1" s="37">
      <c r="A143" s="2" t="n"/>
      <c r="B143" s="2" t="n"/>
      <c r="C143" s="2" t="n"/>
      <c r="D143" s="2" t="n"/>
      <c r="E143" s="2" t="n"/>
      <c r="F143" s="2" t="n"/>
      <c r="G143" s="2" t="n"/>
      <c r="H143" s="2" t="n"/>
      <c r="I143" s="2" t="n"/>
      <c r="J143" s="2" t="n"/>
      <c r="K143" s="2" t="n"/>
    </row>
    <row r="144" ht="15.75" customHeight="1" s="37">
      <c r="A144" s="2" t="n"/>
      <c r="B144" s="2" t="n"/>
      <c r="C144" s="2" t="n"/>
      <c r="D144" s="2" t="n"/>
      <c r="E144" s="2" t="n"/>
      <c r="F144" s="2" t="n"/>
      <c r="G144" s="2" t="n"/>
      <c r="H144" s="2" t="n"/>
      <c r="I144" s="2" t="n"/>
      <c r="J144" s="2" t="n"/>
      <c r="K144" s="2" t="n"/>
    </row>
    <row r="145" ht="15.75" customHeight="1" s="37">
      <c r="A145" s="2" t="n"/>
      <c r="B145" s="2" t="n"/>
      <c r="C145" s="2" t="n"/>
      <c r="D145" s="2" t="n"/>
      <c r="E145" s="2" t="n"/>
      <c r="F145" s="2" t="n"/>
      <c r="G145" s="2" t="n"/>
      <c r="H145" s="2" t="n"/>
      <c r="I145" s="2" t="n"/>
      <c r="J145" s="2" t="n"/>
      <c r="K145" s="2" t="n"/>
    </row>
    <row r="146" ht="15.75" customHeight="1" s="37">
      <c r="A146" s="2" t="n"/>
      <c r="B146" s="2" t="n"/>
      <c r="C146" s="2" t="n"/>
      <c r="D146" s="2" t="n"/>
      <c r="E146" s="2" t="n"/>
      <c r="F146" s="2" t="n"/>
      <c r="G146" s="2" t="n"/>
      <c r="H146" s="2" t="n"/>
      <c r="I146" s="2" t="n"/>
      <c r="J146" s="2" t="n"/>
      <c r="K146" s="2" t="n"/>
    </row>
    <row r="147" ht="15.75" customHeight="1" s="37">
      <c r="A147" s="2" t="n"/>
      <c r="B147" s="2" t="n"/>
      <c r="C147" s="2" t="n"/>
      <c r="D147" s="2" t="n"/>
      <c r="E147" s="2" t="n"/>
      <c r="F147" s="2" t="n"/>
      <c r="G147" s="2" t="n"/>
      <c r="H147" s="2" t="n"/>
      <c r="I147" s="2" t="n"/>
      <c r="J147" s="2" t="n"/>
      <c r="K147" s="2" t="n"/>
    </row>
    <row r="148" ht="15.75" customHeight="1" s="37">
      <c r="A148" s="2" t="n"/>
      <c r="B148" s="2" t="n"/>
      <c r="C148" s="2" t="n"/>
      <c r="D148" s="2" t="n"/>
      <c r="E148" s="2" t="n"/>
      <c r="F148" s="2" t="n"/>
      <c r="G148" s="2" t="n"/>
      <c r="H148" s="2" t="n"/>
      <c r="I148" s="2" t="n"/>
      <c r="J148" s="2" t="n"/>
      <c r="K148" s="2" t="n"/>
    </row>
    <row r="149" ht="15.75" customHeight="1" s="37">
      <c r="A149" s="2" t="n"/>
      <c r="B149" s="2" t="n"/>
      <c r="C149" s="2" t="n"/>
      <c r="D149" s="2" t="n"/>
      <c r="E149" s="2" t="n"/>
      <c r="F149" s="2" t="n"/>
      <c r="G149" s="2" t="n"/>
      <c r="H149" s="2" t="n"/>
      <c r="I149" s="2" t="n"/>
      <c r="J149" s="2" t="n"/>
      <c r="K149" s="2" t="n"/>
    </row>
    <row r="150" ht="15.75" customHeight="1" s="37">
      <c r="A150" s="2" t="n"/>
      <c r="B150" s="2" t="n"/>
      <c r="C150" s="2" t="n"/>
      <c r="D150" s="2" t="n"/>
      <c r="E150" s="2" t="n"/>
      <c r="F150" s="2" t="n"/>
      <c r="G150" s="2" t="n"/>
      <c r="H150" s="2" t="n"/>
      <c r="I150" s="2" t="n"/>
      <c r="J150" s="2" t="n"/>
      <c r="K150" s="2" t="n"/>
    </row>
    <row r="151" ht="15.75" customHeight="1" s="37">
      <c r="A151" s="2" t="n"/>
      <c r="B151" s="2" t="n"/>
      <c r="C151" s="2" t="n"/>
      <c r="D151" s="2" t="n"/>
      <c r="E151" s="2" t="n"/>
      <c r="F151" s="2" t="n"/>
      <c r="G151" s="2" t="n"/>
      <c r="H151" s="2" t="n"/>
      <c r="I151" s="2" t="n"/>
      <c r="J151" s="2" t="n"/>
      <c r="K151" s="2" t="n"/>
    </row>
    <row r="152" ht="15.75" customHeight="1" s="37">
      <c r="A152" s="2" t="n"/>
      <c r="B152" s="2" t="n"/>
      <c r="C152" s="2" t="n"/>
      <c r="D152" s="2" t="n"/>
      <c r="E152" s="2" t="n"/>
      <c r="F152" s="2" t="n"/>
      <c r="G152" s="2" t="n"/>
      <c r="H152" s="2" t="n"/>
      <c r="I152" s="2" t="n"/>
      <c r="J152" s="2" t="n"/>
      <c r="K152" s="2" t="n"/>
    </row>
    <row r="153" ht="15.75" customHeight="1" s="37">
      <c r="A153" s="2" t="n"/>
      <c r="B153" s="2" t="n"/>
      <c r="C153" s="2" t="n"/>
      <c r="D153" s="2" t="n"/>
      <c r="E153" s="2" t="n"/>
      <c r="F153" s="2" t="n"/>
      <c r="G153" s="2" t="n"/>
      <c r="H153" s="2" t="n"/>
      <c r="I153" s="2" t="n"/>
      <c r="J153" s="2" t="n"/>
      <c r="K153" s="2" t="n"/>
    </row>
    <row r="154" ht="15.75" customHeight="1" s="37">
      <c r="A154" s="2" t="n"/>
      <c r="B154" s="2" t="n"/>
      <c r="C154" s="2" t="n"/>
      <c r="D154" s="2" t="n"/>
      <c r="E154" s="2" t="n"/>
      <c r="F154" s="2" t="n"/>
      <c r="G154" s="2" t="n"/>
      <c r="H154" s="2" t="n"/>
      <c r="I154" s="2" t="n"/>
      <c r="J154" s="2" t="n"/>
      <c r="K154" s="2" t="n"/>
    </row>
    <row r="155" ht="15.75" customHeight="1" s="37">
      <c r="A155" s="2" t="n"/>
      <c r="B155" s="2" t="n"/>
      <c r="C155" s="2" t="n"/>
      <c r="D155" s="2" t="n"/>
      <c r="E155" s="2" t="n"/>
      <c r="F155" s="2" t="n"/>
      <c r="G155" s="2" t="n"/>
      <c r="H155" s="2" t="n"/>
      <c r="I155" s="2" t="n"/>
      <c r="J155" s="2" t="n"/>
      <c r="K155" s="2" t="n"/>
    </row>
    <row r="156" ht="15.75" customHeight="1" s="37">
      <c r="A156" s="2" t="n"/>
      <c r="B156" s="2" t="n"/>
      <c r="C156" s="2" t="n"/>
      <c r="D156" s="2" t="n"/>
      <c r="E156" s="2" t="n"/>
      <c r="F156" s="2" t="n"/>
      <c r="G156" s="2" t="n"/>
      <c r="H156" s="2" t="n"/>
      <c r="I156" s="2" t="n"/>
      <c r="J156" s="2" t="n"/>
      <c r="K156" s="2" t="n"/>
    </row>
    <row r="157" ht="15.75" customHeight="1" s="37">
      <c r="A157" s="2" t="n"/>
      <c r="B157" s="2" t="n"/>
      <c r="C157" s="2" t="n"/>
      <c r="D157" s="2" t="n"/>
      <c r="E157" s="2" t="n"/>
      <c r="F157" s="2" t="n"/>
      <c r="G157" s="2" t="n"/>
      <c r="H157" s="2" t="n"/>
      <c r="I157" s="2" t="n"/>
      <c r="J157" s="2" t="n"/>
      <c r="K157" s="2" t="n"/>
    </row>
    <row r="158" ht="15.75" customHeight="1" s="37">
      <c r="A158" s="2" t="n"/>
      <c r="B158" s="2" t="n"/>
      <c r="C158" s="2" t="n"/>
      <c r="D158" s="2" t="n"/>
      <c r="E158" s="2" t="n"/>
      <c r="F158" s="2" t="n"/>
      <c r="G158" s="2" t="n"/>
      <c r="H158" s="2" t="n"/>
      <c r="I158" s="2" t="n"/>
      <c r="J158" s="2" t="n"/>
      <c r="K158" s="2" t="n"/>
    </row>
    <row r="159" ht="15.75" customHeight="1" s="37">
      <c r="A159" s="2" t="n"/>
      <c r="B159" s="2" t="n"/>
      <c r="C159" s="2" t="n"/>
      <c r="D159" s="2" t="n"/>
      <c r="E159" s="2" t="n"/>
      <c r="F159" s="2" t="n"/>
      <c r="G159" s="2" t="n"/>
      <c r="H159" s="2" t="n"/>
      <c r="I159" s="2" t="n"/>
      <c r="J159" s="2" t="n"/>
      <c r="K159" s="2" t="n"/>
    </row>
    <row r="160" ht="15.75" customHeight="1" s="37">
      <c r="A160" s="2" t="n"/>
      <c r="B160" s="2" t="n"/>
      <c r="C160" s="2" t="n"/>
      <c r="D160" s="2" t="n"/>
      <c r="E160" s="2" t="n"/>
      <c r="F160" s="2" t="n"/>
      <c r="G160" s="2" t="n"/>
      <c r="H160" s="2" t="n"/>
      <c r="I160" s="2" t="n"/>
      <c r="J160" s="2" t="n"/>
      <c r="K160" s="2" t="n"/>
    </row>
    <row r="161" ht="15.75" customHeight="1" s="37">
      <c r="A161" s="2" t="n"/>
      <c r="B161" s="2" t="n"/>
      <c r="C161" s="2" t="n"/>
      <c r="D161" s="2" t="n"/>
      <c r="E161" s="2" t="n"/>
      <c r="F161" s="2" t="n"/>
      <c r="G161" s="2" t="n"/>
      <c r="H161" s="2" t="n"/>
      <c r="I161" s="2" t="n"/>
      <c r="J161" s="2" t="n"/>
      <c r="K161" s="2" t="n"/>
    </row>
    <row r="162" ht="15.75" customHeight="1" s="37">
      <c r="A162" s="2" t="n"/>
      <c r="B162" s="2" t="n"/>
      <c r="C162" s="2" t="n"/>
      <c r="D162" s="2" t="n"/>
      <c r="E162" s="2" t="n"/>
      <c r="F162" s="2" t="n"/>
      <c r="G162" s="2" t="n"/>
      <c r="H162" s="2" t="n"/>
      <c r="I162" s="2" t="n"/>
      <c r="J162" s="2" t="n"/>
      <c r="K162" s="2" t="n"/>
    </row>
    <row r="163" ht="15.75" customHeight="1" s="37">
      <c r="A163" s="2" t="n"/>
      <c r="B163" s="2" t="n"/>
      <c r="C163" s="2" t="n"/>
      <c r="D163" s="2" t="n"/>
      <c r="E163" s="2" t="n"/>
      <c r="F163" s="2" t="n"/>
      <c r="G163" s="2" t="n"/>
      <c r="H163" s="2" t="n"/>
      <c r="I163" s="2" t="n"/>
      <c r="J163" s="2" t="n"/>
      <c r="K163" s="2" t="n"/>
    </row>
    <row r="164" ht="15.75" customHeight="1" s="37">
      <c r="A164" s="2" t="n"/>
      <c r="B164" s="2" t="n"/>
      <c r="C164" s="2" t="n"/>
      <c r="D164" s="2" t="n"/>
      <c r="E164" s="2" t="n"/>
      <c r="F164" s="2" t="n"/>
      <c r="G164" s="2" t="n"/>
      <c r="H164" s="2" t="n"/>
      <c r="I164" s="2" t="n"/>
      <c r="J164" s="2" t="n"/>
      <c r="K164" s="2" t="n"/>
    </row>
    <row r="165" ht="15.75" customHeight="1" s="37">
      <c r="A165" s="2" t="n"/>
      <c r="B165" s="2" t="n"/>
      <c r="C165" s="2" t="n"/>
      <c r="D165" s="2" t="n"/>
      <c r="E165" s="2" t="n"/>
      <c r="F165" s="2" t="n"/>
      <c r="G165" s="2" t="n"/>
      <c r="H165" s="2" t="n"/>
      <c r="I165" s="2" t="n"/>
      <c r="J165" s="2" t="n"/>
      <c r="K165" s="2" t="n"/>
    </row>
    <row r="166" ht="15.75" customHeight="1" s="37">
      <c r="A166" s="2" t="n"/>
      <c r="B166" s="2" t="n"/>
      <c r="C166" s="2" t="n"/>
      <c r="D166" s="2" t="n"/>
      <c r="E166" s="2" t="n"/>
      <c r="F166" s="2" t="n"/>
      <c r="G166" s="2" t="n"/>
      <c r="H166" s="2" t="n"/>
      <c r="I166" s="2" t="n"/>
      <c r="J166" s="2" t="n"/>
      <c r="K166" s="2" t="n"/>
    </row>
    <row r="167" ht="15.75" customHeight="1" s="37">
      <c r="A167" s="2" t="n"/>
      <c r="B167" s="2" t="n"/>
      <c r="C167" s="2" t="n"/>
      <c r="D167" s="2" t="n"/>
      <c r="E167" s="2" t="n"/>
      <c r="F167" s="2" t="n"/>
      <c r="G167" s="2" t="n"/>
      <c r="H167" s="2" t="n"/>
      <c r="I167" s="2" t="n"/>
      <c r="J167" s="2" t="n"/>
      <c r="K167" s="2" t="n"/>
    </row>
    <row r="168" ht="15.75" customHeight="1" s="37">
      <c r="A168" s="2" t="n"/>
      <c r="B168" s="2" t="n"/>
      <c r="C168" s="2" t="n"/>
      <c r="D168" s="2" t="n"/>
      <c r="E168" s="2" t="n"/>
      <c r="F168" s="2" t="n"/>
      <c r="G168" s="2" t="n"/>
      <c r="H168" s="2" t="n"/>
      <c r="I168" s="2" t="n"/>
      <c r="J168" s="2" t="n"/>
      <c r="K168" s="2" t="n"/>
    </row>
    <row r="169" ht="15.75" customHeight="1" s="37">
      <c r="A169" s="2" t="n"/>
      <c r="B169" s="2" t="n"/>
      <c r="C169" s="2" t="n"/>
      <c r="D169" s="2" t="n"/>
      <c r="E169" s="2" t="n"/>
      <c r="F169" s="2" t="n"/>
      <c r="G169" s="2" t="n"/>
      <c r="H169" s="2" t="n"/>
      <c r="I169" s="2" t="n"/>
      <c r="J169" s="2" t="n"/>
      <c r="K169" s="2" t="n"/>
    </row>
    <row r="170" ht="15.75" customHeight="1" s="37">
      <c r="A170" s="2" t="n"/>
      <c r="B170" s="2" t="n"/>
      <c r="C170" s="2" t="n"/>
      <c r="D170" s="2" t="n"/>
      <c r="E170" s="2" t="n"/>
      <c r="F170" s="2" t="n"/>
      <c r="G170" s="2" t="n"/>
      <c r="H170" s="2" t="n"/>
      <c r="I170" s="2" t="n"/>
      <c r="J170" s="2" t="n"/>
      <c r="K170" s="2" t="n"/>
    </row>
    <row r="171" ht="15.75" customHeight="1" s="37">
      <c r="A171" s="2" t="n"/>
      <c r="B171" s="2" t="n"/>
      <c r="C171" s="2" t="n"/>
      <c r="D171" s="2" t="n"/>
      <c r="E171" s="2" t="n"/>
      <c r="F171" s="2" t="n"/>
      <c r="G171" s="2" t="n"/>
      <c r="H171" s="2" t="n"/>
      <c r="I171" s="2" t="n"/>
      <c r="J171" s="2" t="n"/>
      <c r="K171" s="2" t="n"/>
    </row>
    <row r="172" ht="15.75" customHeight="1" s="37">
      <c r="A172" s="2" t="n"/>
      <c r="B172" s="2" t="n"/>
      <c r="C172" s="2" t="n"/>
      <c r="D172" s="2" t="n"/>
      <c r="E172" s="2" t="n"/>
      <c r="F172" s="2" t="n"/>
      <c r="G172" s="2" t="n"/>
      <c r="H172" s="2" t="n"/>
      <c r="I172" s="2" t="n"/>
      <c r="J172" s="2" t="n"/>
      <c r="K172" s="2" t="n"/>
    </row>
    <row r="173" ht="15.75" customHeight="1" s="37">
      <c r="A173" s="2" t="n"/>
      <c r="B173" s="2" t="n"/>
      <c r="C173" s="2" t="n"/>
      <c r="D173" s="2" t="n"/>
      <c r="E173" s="2" t="n"/>
      <c r="F173" s="2" t="n"/>
      <c r="G173" s="2" t="n"/>
      <c r="H173" s="2" t="n"/>
      <c r="I173" s="2" t="n"/>
      <c r="J173" s="2" t="n"/>
      <c r="K173" s="2" t="n"/>
    </row>
    <row r="174" ht="15.75" customHeight="1" s="37">
      <c r="A174" s="2" t="n"/>
      <c r="B174" s="2" t="n"/>
      <c r="C174" s="2" t="n"/>
      <c r="D174" s="2" t="n"/>
      <c r="E174" s="2" t="n"/>
      <c r="F174" s="2" t="n"/>
      <c r="G174" s="2" t="n"/>
      <c r="H174" s="2" t="n"/>
      <c r="I174" s="2" t="n"/>
      <c r="J174" s="2" t="n"/>
      <c r="K174" s="2" t="n"/>
    </row>
    <row r="175" ht="15.75" customHeight="1" s="37">
      <c r="A175" s="2" t="n"/>
      <c r="B175" s="2" t="n"/>
      <c r="C175" s="2" t="n"/>
      <c r="D175" s="2" t="n"/>
      <c r="E175" s="2" t="n"/>
      <c r="F175" s="2" t="n"/>
      <c r="G175" s="2" t="n"/>
      <c r="H175" s="2" t="n"/>
      <c r="I175" s="2" t="n"/>
      <c r="J175" s="2" t="n"/>
      <c r="K175" s="2" t="n"/>
    </row>
    <row r="176" ht="15.75" customHeight="1" s="37">
      <c r="A176" s="2" t="n"/>
      <c r="B176" s="2" t="n"/>
      <c r="C176" s="2" t="n"/>
      <c r="D176" s="2" t="n"/>
      <c r="E176" s="2" t="n"/>
      <c r="F176" s="2" t="n"/>
      <c r="G176" s="2" t="n"/>
      <c r="H176" s="2" t="n"/>
      <c r="I176" s="2" t="n"/>
      <c r="J176" s="2" t="n"/>
      <c r="K176" s="2" t="n"/>
    </row>
    <row r="177" ht="15.75" customHeight="1" s="37">
      <c r="A177" s="2" t="n"/>
      <c r="B177" s="2" t="n"/>
      <c r="C177" s="2" t="n"/>
      <c r="D177" s="2" t="n"/>
      <c r="E177" s="2" t="n"/>
      <c r="F177" s="2" t="n"/>
      <c r="G177" s="2" t="n"/>
      <c r="H177" s="2" t="n"/>
      <c r="I177" s="2" t="n"/>
      <c r="J177" s="2" t="n"/>
      <c r="K177" s="2" t="n"/>
    </row>
    <row r="178" ht="15.75" customHeight="1" s="37">
      <c r="A178" s="2" t="n"/>
      <c r="B178" s="2" t="n"/>
      <c r="C178" s="2" t="n"/>
      <c r="D178" s="2" t="n"/>
      <c r="E178" s="2" t="n"/>
      <c r="F178" s="2" t="n"/>
      <c r="G178" s="2" t="n"/>
      <c r="H178" s="2" t="n"/>
      <c r="I178" s="2" t="n"/>
      <c r="J178" s="2" t="n"/>
      <c r="K178" s="2" t="n"/>
    </row>
    <row r="179" ht="15.75" customHeight="1" s="37">
      <c r="A179" s="2" t="n"/>
      <c r="B179" s="2" t="n"/>
      <c r="C179" s="2" t="n"/>
      <c r="D179" s="2" t="n"/>
      <c r="E179" s="2" t="n"/>
      <c r="F179" s="2" t="n"/>
      <c r="G179" s="2" t="n"/>
      <c r="H179" s="2" t="n"/>
      <c r="I179" s="2" t="n"/>
      <c r="J179" s="2" t="n"/>
      <c r="K179" s="2" t="n"/>
    </row>
    <row r="180" ht="15.75" customHeight="1" s="37">
      <c r="A180" s="2" t="n"/>
      <c r="B180" s="2" t="n"/>
      <c r="C180" s="2" t="n"/>
      <c r="D180" s="2" t="n"/>
      <c r="E180" s="2" t="n"/>
      <c r="F180" s="2" t="n"/>
      <c r="G180" s="2" t="n"/>
      <c r="H180" s="2" t="n"/>
      <c r="I180" s="2" t="n"/>
      <c r="J180" s="2" t="n"/>
      <c r="K180" s="2" t="n"/>
    </row>
    <row r="181" ht="15.75" customHeight="1" s="37">
      <c r="A181" s="2" t="n"/>
      <c r="B181" s="2" t="n"/>
      <c r="C181" s="2" t="n"/>
      <c r="D181" s="2" t="n"/>
      <c r="E181" s="2" t="n"/>
      <c r="F181" s="2" t="n"/>
      <c r="G181" s="2" t="n"/>
      <c r="H181" s="2" t="n"/>
      <c r="I181" s="2" t="n"/>
      <c r="J181" s="2" t="n"/>
      <c r="K181" s="2" t="n"/>
    </row>
    <row r="182" ht="15.75" customHeight="1" s="37">
      <c r="A182" s="2" t="n"/>
      <c r="B182" s="2" t="n"/>
      <c r="C182" s="2" t="n"/>
      <c r="D182" s="2" t="n"/>
      <c r="E182" s="2" t="n"/>
      <c r="F182" s="2" t="n"/>
      <c r="G182" s="2" t="n"/>
      <c r="H182" s="2" t="n"/>
      <c r="I182" s="2" t="n"/>
      <c r="J182" s="2" t="n"/>
      <c r="K182" s="2" t="n"/>
    </row>
    <row r="183" ht="15.75" customHeight="1" s="37">
      <c r="A183" s="2" t="n"/>
      <c r="B183" s="2" t="n"/>
      <c r="C183" s="2" t="n"/>
      <c r="D183" s="2" t="n"/>
      <c r="E183" s="2" t="n"/>
      <c r="F183" s="2" t="n"/>
      <c r="G183" s="2" t="n"/>
      <c r="H183" s="2" t="n"/>
      <c r="I183" s="2" t="n"/>
      <c r="J183" s="2" t="n"/>
      <c r="K183" s="2" t="n"/>
    </row>
    <row r="184" ht="15.75" customHeight="1" s="37">
      <c r="A184" s="2" t="n"/>
      <c r="B184" s="2" t="n"/>
      <c r="C184" s="2" t="n"/>
      <c r="D184" s="2" t="n"/>
      <c r="E184" s="2" t="n"/>
      <c r="F184" s="2" t="n"/>
      <c r="G184" s="2" t="n"/>
      <c r="H184" s="2" t="n"/>
      <c r="I184" s="2" t="n"/>
      <c r="J184" s="2" t="n"/>
      <c r="K184" s="2" t="n"/>
    </row>
    <row r="185" ht="15.75" customHeight="1" s="37">
      <c r="A185" s="2" t="n"/>
      <c r="B185" s="2" t="n"/>
      <c r="C185" s="2" t="n"/>
      <c r="D185" s="2" t="n"/>
      <c r="E185" s="2" t="n"/>
      <c r="F185" s="2" t="n"/>
      <c r="G185" s="2" t="n"/>
      <c r="H185" s="2" t="n"/>
      <c r="I185" s="2" t="n"/>
      <c r="J185" s="2" t="n"/>
      <c r="K185" s="2" t="n"/>
    </row>
    <row r="186" ht="15.75" customHeight="1" s="37">
      <c r="A186" s="2" t="n"/>
      <c r="B186" s="2" t="n"/>
      <c r="C186" s="2" t="n"/>
      <c r="D186" s="2" t="n"/>
      <c r="E186" s="2" t="n"/>
      <c r="F186" s="2" t="n"/>
      <c r="G186" s="2" t="n"/>
      <c r="H186" s="2" t="n"/>
      <c r="I186" s="2" t="n"/>
      <c r="J186" s="2" t="n"/>
      <c r="K186" s="2" t="n"/>
    </row>
    <row r="187" ht="15.75" customHeight="1" s="37">
      <c r="A187" s="2" t="n"/>
      <c r="B187" s="2" t="n"/>
      <c r="C187" s="2" t="n"/>
      <c r="D187" s="2" t="n"/>
      <c r="E187" s="2" t="n"/>
      <c r="F187" s="2" t="n"/>
      <c r="G187" s="2" t="n"/>
      <c r="H187" s="2" t="n"/>
      <c r="I187" s="2" t="n"/>
      <c r="J187" s="2" t="n"/>
      <c r="K187" s="2" t="n"/>
    </row>
    <row r="188" ht="15.75" customHeight="1" s="37">
      <c r="A188" s="2" t="n"/>
      <c r="B188" s="2" t="n"/>
      <c r="C188" s="2" t="n"/>
      <c r="D188" s="2" t="n"/>
      <c r="E188" s="2" t="n"/>
      <c r="F188" s="2" t="n"/>
      <c r="G188" s="2" t="n"/>
      <c r="H188" s="2" t="n"/>
      <c r="I188" s="2" t="n"/>
      <c r="J188" s="2" t="n"/>
      <c r="K188" s="2" t="n"/>
    </row>
    <row r="189" ht="15.75" customHeight="1" s="37">
      <c r="A189" s="2" t="n"/>
      <c r="B189" s="2" t="n"/>
      <c r="C189" s="2" t="n"/>
      <c r="D189" s="2" t="n"/>
      <c r="E189" s="2" t="n"/>
      <c r="F189" s="2" t="n"/>
      <c r="G189" s="2" t="n"/>
      <c r="H189" s="2" t="n"/>
      <c r="I189" s="2" t="n"/>
      <c r="J189" s="2" t="n"/>
      <c r="K189" s="2" t="n"/>
    </row>
    <row r="190" ht="15.75" customHeight="1" s="37">
      <c r="A190" s="2" t="n"/>
      <c r="B190" s="2" t="n"/>
      <c r="C190" s="2" t="n"/>
      <c r="D190" s="2" t="n"/>
      <c r="E190" s="2" t="n"/>
      <c r="F190" s="2" t="n"/>
      <c r="G190" s="2" t="n"/>
      <c r="H190" s="2" t="n"/>
      <c r="I190" s="2" t="n"/>
      <c r="J190" s="2" t="n"/>
      <c r="K190" s="2" t="n"/>
    </row>
    <row r="191" ht="15.75" customHeight="1" s="37">
      <c r="A191" s="2" t="n"/>
      <c r="B191" s="2" t="n"/>
      <c r="C191" s="2" t="n"/>
      <c r="D191" s="2" t="n"/>
      <c r="E191" s="2" t="n"/>
      <c r="F191" s="2" t="n"/>
      <c r="G191" s="2" t="n"/>
      <c r="H191" s="2" t="n"/>
      <c r="I191" s="2" t="n"/>
      <c r="J191" s="2" t="n"/>
      <c r="K191" s="2" t="n"/>
    </row>
    <row r="192" ht="15.75" customHeight="1" s="37">
      <c r="A192" s="2" t="n"/>
      <c r="B192" s="2" t="n"/>
      <c r="C192" s="2" t="n"/>
      <c r="D192" s="2" t="n"/>
      <c r="E192" s="2" t="n"/>
      <c r="F192" s="2" t="n"/>
      <c r="G192" s="2" t="n"/>
      <c r="H192" s="2" t="n"/>
      <c r="I192" s="2" t="n"/>
      <c r="J192" s="2" t="n"/>
      <c r="K192" s="2" t="n"/>
    </row>
    <row r="193" ht="15.75" customHeight="1" s="37">
      <c r="A193" s="2" t="n"/>
      <c r="B193" s="2" t="n"/>
      <c r="C193" s="2" t="n"/>
      <c r="D193" s="2" t="n"/>
      <c r="E193" s="2" t="n"/>
      <c r="F193" s="2" t="n"/>
      <c r="G193" s="2" t="n"/>
      <c r="H193" s="2" t="n"/>
      <c r="I193" s="2" t="n"/>
      <c r="J193" s="2" t="n"/>
      <c r="K193" s="2" t="n"/>
    </row>
    <row r="194" ht="15.75" customHeight="1" s="37">
      <c r="A194" s="2" t="n"/>
      <c r="B194" s="2" t="n"/>
      <c r="C194" s="2" t="n"/>
      <c r="D194" s="2" t="n"/>
      <c r="E194" s="2" t="n"/>
      <c r="F194" s="2" t="n"/>
      <c r="G194" s="2" t="n"/>
      <c r="H194" s="2" t="n"/>
      <c r="I194" s="2" t="n"/>
      <c r="J194" s="2" t="n"/>
      <c r="K194" s="2" t="n"/>
    </row>
    <row r="195" ht="15.75" customHeight="1" s="37">
      <c r="A195" s="2" t="n"/>
      <c r="B195" s="2" t="n"/>
      <c r="C195" s="2" t="n"/>
      <c r="D195" s="2" t="n"/>
      <c r="E195" s="2" t="n"/>
      <c r="F195" s="2" t="n"/>
      <c r="G195" s="2" t="n"/>
      <c r="H195" s="2" t="n"/>
      <c r="I195" s="2" t="n"/>
      <c r="J195" s="2" t="n"/>
      <c r="K195" s="2" t="n"/>
    </row>
    <row r="196" ht="15.75" customHeight="1" s="37">
      <c r="A196" s="2" t="n"/>
      <c r="B196" s="2" t="n"/>
      <c r="C196" s="2" t="n"/>
      <c r="D196" s="2" t="n"/>
      <c r="E196" s="2" t="n"/>
      <c r="F196" s="2" t="n"/>
      <c r="G196" s="2" t="n"/>
      <c r="H196" s="2" t="n"/>
      <c r="I196" s="2" t="n"/>
      <c r="J196" s="2" t="n"/>
      <c r="K196" s="2" t="n"/>
    </row>
    <row r="197" ht="15.75" customHeight="1" s="37">
      <c r="A197" s="2" t="n"/>
      <c r="B197" s="2" t="n"/>
      <c r="C197" s="2" t="n"/>
      <c r="D197" s="2" t="n"/>
      <c r="E197" s="2" t="n"/>
      <c r="F197" s="2" t="n"/>
      <c r="G197" s="2" t="n"/>
      <c r="H197" s="2" t="n"/>
      <c r="I197" s="2" t="n"/>
      <c r="J197" s="2" t="n"/>
      <c r="K197" s="2" t="n"/>
    </row>
    <row r="198" ht="15.75" customHeight="1" s="37">
      <c r="A198" s="2" t="n"/>
      <c r="B198" s="2" t="n"/>
      <c r="C198" s="2" t="n"/>
      <c r="D198" s="2" t="n"/>
      <c r="E198" s="2" t="n"/>
      <c r="F198" s="2" t="n"/>
      <c r="G198" s="2" t="n"/>
      <c r="H198" s="2" t="n"/>
      <c r="I198" s="2" t="n"/>
      <c r="J198" s="2" t="n"/>
      <c r="K198" s="2" t="n"/>
    </row>
    <row r="199" ht="15.75" customHeight="1" s="37">
      <c r="A199" s="2" t="n"/>
      <c r="B199" s="2" t="n"/>
      <c r="C199" s="2" t="n"/>
      <c r="D199" s="2" t="n"/>
      <c r="E199" s="2" t="n"/>
      <c r="F199" s="2" t="n"/>
      <c r="G199" s="2" t="n"/>
      <c r="H199" s="2" t="n"/>
      <c r="I199" s="2" t="n"/>
      <c r="J199" s="2" t="n"/>
      <c r="K199" s="2" t="n"/>
    </row>
    <row r="200" ht="15.75" customHeight="1" s="37">
      <c r="A200" s="2" t="n"/>
      <c r="B200" s="2" t="n"/>
      <c r="C200" s="2" t="n"/>
      <c r="D200" s="2" t="n"/>
      <c r="E200" s="2" t="n"/>
      <c r="F200" s="2" t="n"/>
      <c r="G200" s="2" t="n"/>
      <c r="H200" s="2" t="n"/>
      <c r="I200" s="2" t="n"/>
      <c r="J200" s="2" t="n"/>
      <c r="K200" s="2" t="n"/>
    </row>
    <row r="201" ht="15.75" customHeight="1" s="37">
      <c r="A201" s="2" t="n"/>
      <c r="B201" s="2" t="n"/>
      <c r="C201" s="2" t="n"/>
      <c r="D201" s="2" t="n"/>
      <c r="E201" s="2" t="n"/>
      <c r="F201" s="2" t="n"/>
      <c r="G201" s="2" t="n"/>
      <c r="H201" s="2" t="n"/>
      <c r="I201" s="2" t="n"/>
      <c r="J201" s="2" t="n"/>
      <c r="K201" s="2" t="n"/>
    </row>
    <row r="202" ht="15.75" customHeight="1" s="37">
      <c r="A202" s="2" t="n"/>
      <c r="B202" s="2" t="n"/>
      <c r="C202" s="2" t="n"/>
      <c r="D202" s="2" t="n"/>
      <c r="E202" s="2" t="n"/>
      <c r="F202" s="2" t="n"/>
      <c r="G202" s="2" t="n"/>
      <c r="H202" s="2" t="n"/>
      <c r="I202" s="2" t="n"/>
      <c r="J202" s="2" t="n"/>
      <c r="K202" s="2" t="n"/>
    </row>
    <row r="203" ht="15.75" customHeight="1" s="37">
      <c r="A203" s="2" t="n"/>
      <c r="B203" s="2" t="n"/>
      <c r="C203" s="2" t="n"/>
      <c r="D203" s="2" t="n"/>
      <c r="E203" s="2" t="n"/>
      <c r="F203" s="2" t="n"/>
      <c r="G203" s="2" t="n"/>
      <c r="H203" s="2" t="n"/>
      <c r="I203" s="2" t="n"/>
      <c r="J203" s="2" t="n"/>
      <c r="K203" s="2" t="n"/>
    </row>
    <row r="204" ht="15.75" customHeight="1" s="37">
      <c r="A204" s="2" t="n"/>
      <c r="B204" s="2" t="n"/>
      <c r="C204" s="2" t="n"/>
      <c r="D204" s="2" t="n"/>
      <c r="E204" s="2" t="n"/>
      <c r="F204" s="2" t="n"/>
      <c r="G204" s="2" t="n"/>
      <c r="H204" s="2" t="n"/>
      <c r="I204" s="2" t="n"/>
      <c r="J204" s="2" t="n"/>
      <c r="K204" s="2" t="n"/>
    </row>
    <row r="205" ht="15.75" customHeight="1" s="37">
      <c r="A205" s="2" t="n"/>
      <c r="B205" s="2" t="n"/>
      <c r="C205" s="2" t="n"/>
      <c r="D205" s="2" t="n"/>
      <c r="E205" s="2" t="n"/>
      <c r="F205" s="2" t="n"/>
      <c r="G205" s="2" t="n"/>
      <c r="H205" s="2" t="n"/>
      <c r="I205" s="2" t="n"/>
      <c r="J205" s="2" t="n"/>
      <c r="K205" s="2" t="n"/>
    </row>
    <row r="206" ht="15.75" customHeight="1" s="37">
      <c r="A206" s="2" t="n"/>
      <c r="B206" s="2" t="n"/>
      <c r="C206" s="2" t="n"/>
      <c r="D206" s="2" t="n"/>
      <c r="E206" s="2" t="n"/>
      <c r="F206" s="2" t="n"/>
      <c r="G206" s="2" t="n"/>
      <c r="H206" s="2" t="n"/>
      <c r="I206" s="2" t="n"/>
      <c r="J206" s="2" t="n"/>
      <c r="K206" s="2" t="n"/>
    </row>
    <row r="207" ht="15.75" customHeight="1" s="37">
      <c r="A207" s="2" t="n"/>
      <c r="B207" s="2" t="n"/>
      <c r="C207" s="2" t="n"/>
      <c r="D207" s="2" t="n"/>
      <c r="E207" s="2" t="n"/>
      <c r="F207" s="2" t="n"/>
      <c r="G207" s="2" t="n"/>
      <c r="H207" s="2" t="n"/>
      <c r="I207" s="2" t="n"/>
      <c r="J207" s="2" t="n"/>
      <c r="K207" s="2" t="n"/>
    </row>
    <row r="208" ht="15.75" customHeight="1" s="37">
      <c r="A208" s="2" t="n"/>
      <c r="B208" s="2" t="n"/>
      <c r="C208" s="2" t="n"/>
      <c r="D208" s="2" t="n"/>
      <c r="E208" s="2" t="n"/>
      <c r="F208" s="2" t="n"/>
      <c r="G208" s="2" t="n"/>
      <c r="H208" s="2" t="n"/>
      <c r="I208" s="2" t="n"/>
      <c r="J208" s="2" t="n"/>
      <c r="K208" s="2" t="n"/>
    </row>
    <row r="209" ht="15.75" customHeight="1" s="37">
      <c r="A209" s="2" t="n"/>
      <c r="B209" s="2" t="n"/>
      <c r="C209" s="2" t="n"/>
      <c r="D209" s="2" t="n"/>
      <c r="E209" s="2" t="n"/>
      <c r="F209" s="2" t="n"/>
      <c r="G209" s="2" t="n"/>
      <c r="H209" s="2" t="n"/>
      <c r="I209" s="2" t="n"/>
      <c r="J209" s="2" t="n"/>
      <c r="K209" s="2" t="n"/>
    </row>
    <row r="210" ht="15.75" customHeight="1" s="37">
      <c r="A210" s="2" t="n"/>
      <c r="B210" s="2" t="n"/>
      <c r="C210" s="2" t="n"/>
      <c r="D210" s="2" t="n"/>
      <c r="E210" s="2" t="n"/>
      <c r="F210" s="2" t="n"/>
      <c r="G210" s="2" t="n"/>
      <c r="H210" s="2" t="n"/>
      <c r="I210" s="2" t="n"/>
      <c r="J210" s="2" t="n"/>
      <c r="K210" s="2" t="n"/>
    </row>
    <row r="211" ht="15.75" customHeight="1" s="37">
      <c r="A211" s="2" t="n"/>
      <c r="B211" s="2" t="n"/>
      <c r="C211" s="2" t="n"/>
      <c r="D211" s="2" t="n"/>
      <c r="E211" s="2" t="n"/>
      <c r="F211" s="2" t="n"/>
      <c r="G211" s="2" t="n"/>
      <c r="H211" s="2" t="n"/>
      <c r="I211" s="2" t="n"/>
      <c r="J211" s="2" t="n"/>
      <c r="K211" s="2" t="n"/>
    </row>
    <row r="212" ht="15.75" customHeight="1" s="37">
      <c r="A212" s="2" t="n"/>
      <c r="B212" s="2" t="n"/>
      <c r="C212" s="2" t="n"/>
      <c r="D212" s="2" t="n"/>
      <c r="E212" s="2" t="n"/>
      <c r="F212" s="2" t="n"/>
      <c r="G212" s="2" t="n"/>
      <c r="H212" s="2" t="n"/>
      <c r="I212" s="2" t="n"/>
      <c r="J212" s="2" t="n"/>
      <c r="K212" s="2" t="n"/>
    </row>
    <row r="213" ht="15.75" customHeight="1" s="37">
      <c r="A213" s="2" t="n"/>
      <c r="B213" s="2" t="n"/>
      <c r="C213" s="2" t="n"/>
      <c r="D213" s="2" t="n"/>
      <c r="E213" s="2" t="n"/>
      <c r="F213" s="2" t="n"/>
      <c r="G213" s="2" t="n"/>
      <c r="H213" s="2" t="n"/>
      <c r="I213" s="2" t="n"/>
      <c r="J213" s="2" t="n"/>
      <c r="K213" s="2" t="n"/>
    </row>
    <row r="214" ht="15.75" customHeight="1" s="37">
      <c r="A214" s="2" t="n"/>
      <c r="B214" s="2" t="n"/>
      <c r="C214" s="2" t="n"/>
      <c r="D214" s="2" t="n"/>
      <c r="E214" s="2" t="n"/>
      <c r="F214" s="2" t="n"/>
      <c r="G214" s="2" t="n"/>
      <c r="H214" s="2" t="n"/>
      <c r="I214" s="2" t="n"/>
      <c r="J214" s="2" t="n"/>
      <c r="K214" s="2" t="n"/>
    </row>
    <row r="215" ht="15.75" customHeight="1" s="37">
      <c r="A215" s="2" t="n"/>
      <c r="B215" s="2" t="n"/>
      <c r="C215" s="2" t="n"/>
      <c r="D215" s="2" t="n"/>
      <c r="E215" s="2" t="n"/>
      <c r="F215" s="2" t="n"/>
      <c r="G215" s="2" t="n"/>
      <c r="H215" s="2" t="n"/>
      <c r="I215" s="2" t="n"/>
      <c r="J215" s="2" t="n"/>
      <c r="K215" s="2" t="n"/>
    </row>
    <row r="216" ht="15.75" customHeight="1" s="37">
      <c r="A216" s="2" t="n"/>
      <c r="B216" s="2" t="n"/>
      <c r="C216" s="2" t="n"/>
      <c r="D216" s="2" t="n"/>
      <c r="E216" s="2" t="n"/>
      <c r="F216" s="2" t="n"/>
      <c r="G216" s="2" t="n"/>
      <c r="H216" s="2" t="n"/>
      <c r="I216" s="2" t="n"/>
      <c r="J216" s="2" t="n"/>
      <c r="K216" s="2" t="n"/>
    </row>
    <row r="217" ht="15.75" customHeight="1" s="37">
      <c r="A217" s="2" t="n"/>
      <c r="B217" s="2" t="n"/>
      <c r="C217" s="2" t="n"/>
      <c r="D217" s="2" t="n"/>
      <c r="E217" s="2" t="n"/>
      <c r="F217" s="2" t="n"/>
      <c r="G217" s="2" t="n"/>
      <c r="H217" s="2" t="n"/>
      <c r="I217" s="2" t="n"/>
      <c r="J217" s="2" t="n"/>
      <c r="K217" s="2" t="n"/>
    </row>
    <row r="218" ht="15.75" customHeight="1" s="37">
      <c r="A218" s="2" t="n"/>
      <c r="B218" s="2" t="n"/>
      <c r="C218" s="2" t="n"/>
      <c r="D218" s="2" t="n"/>
      <c r="E218" s="2" t="n"/>
      <c r="F218" s="2" t="n"/>
      <c r="G218" s="2" t="n"/>
      <c r="H218" s="2" t="n"/>
      <c r="I218" s="2" t="n"/>
      <c r="J218" s="2" t="n"/>
      <c r="K218" s="2" t="n"/>
    </row>
    <row r="219" ht="15.75" customHeight="1" s="37">
      <c r="A219" s="2" t="n"/>
      <c r="B219" s="2" t="n"/>
      <c r="C219" s="2" t="n"/>
      <c r="D219" s="2" t="n"/>
      <c r="E219" s="2" t="n"/>
      <c r="F219" s="2" t="n"/>
      <c r="G219" s="2" t="n"/>
      <c r="H219" s="2" t="n"/>
      <c r="I219" s="2" t="n"/>
      <c r="J219" s="2" t="n"/>
      <c r="K219" s="2" t="n"/>
    </row>
    <row r="220" ht="15.75" customHeight="1" s="37">
      <c r="A220" s="2" t="n"/>
      <c r="B220" s="2" t="n"/>
      <c r="C220" s="2" t="n"/>
      <c r="D220" s="2" t="n"/>
      <c r="E220" s="2" t="n"/>
      <c r="F220" s="2" t="n"/>
      <c r="G220" s="2" t="n"/>
      <c r="H220" s="2" t="n"/>
      <c r="I220" s="2" t="n"/>
      <c r="J220" s="2" t="n"/>
      <c r="K220" s="2"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298"/>
  <sheetViews>
    <sheetView workbookViewId="0">
      <selection activeCell="A1" sqref="A1"/>
    </sheetView>
  </sheetViews>
  <sheetFormatPr baseColWidth="8" defaultColWidth="12.63" defaultRowHeight="15" customHeight="1"/>
  <cols>
    <col width="41.25" customWidth="1" style="37" min="1" max="1"/>
    <col width="36.75" customWidth="1" style="37" min="2" max="2"/>
    <col width="50.75" customWidth="1" style="37" min="3" max="3"/>
    <col width="47.25" customWidth="1" style="37" min="4" max="4"/>
    <col width="19.25" customWidth="1" style="37" min="5" max="5"/>
    <col width="50.75" customWidth="1" style="37" min="6" max="6"/>
    <col width="21" customWidth="1" style="37" min="7" max="7"/>
    <col width="50.75" customWidth="1" style="37" min="8" max="8"/>
    <col width="14" customWidth="1" style="37" min="9" max="9"/>
    <col width="8.75" customWidth="1" style="37" min="10" max="10"/>
    <col width="14" customWidth="1" style="37" min="11" max="11"/>
    <col width="50.75" customWidth="1" style="37" min="12" max="12"/>
  </cols>
  <sheetData>
    <row r="1" ht="21" customHeight="1" s="37">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7">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7">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7">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7">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7">
      <c r="A6" s="8" t="inlineStr">
        <is>
          <t>index.html</t>
        </is>
      </c>
      <c r="B6" s="9" t="inlineStr">
        <is>
          <t>/</t>
        </is>
      </c>
      <c r="C6" s="10">
        <f>$B$1&amp;B6</f>
        <v/>
      </c>
      <c r="D6" s="11" t="inlineStr">
        <is>
          <t>Jonathan Harris — AI Author &amp; Podcast Host</t>
        </is>
      </c>
      <c r="E6" s="11" t="inlineStr">
        <is>
          <t>Standard page route</t>
        </is>
      </c>
      <c r="F6" s="12" t="n"/>
      <c r="G6" s="12" t="n"/>
      <c r="H6" s="11" t="n"/>
      <c r="I6" s="11">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7">
      <c r="A7" s="15" t="inlineStr">
        <is>
          <t>404.html</t>
        </is>
      </c>
      <c r="B7" s="16" t="inlineStr">
        <is>
          <t>/404</t>
        </is>
      </c>
      <c r="C7" s="17">
        <f>$B$1&amp;B7</f>
        <v/>
      </c>
      <c r="D7" s="18" t="inlineStr">
        <is>
          <t>Page Not Found | Jonathan Harris</t>
        </is>
      </c>
      <c r="E7" s="18" t="inlineStr">
        <is>
          <t>Standard page route</t>
        </is>
      </c>
      <c r="F7" s="19" t="n"/>
      <c r="G7" s="19" t="n"/>
      <c r="H7" s="18" t="n"/>
      <c r="I7" s="18">
        <f>IFERROR(VLOOKUP($F7,'BuyNow Redirects'!$C$2:$J$37,5,FALSE),"")</f>
        <v/>
      </c>
      <c r="J7" s="20">
        <f>IFERROR(VLOOKUP($F7,'BuyNow Redirects'!$C$2:$J$37,6,FALSE),"")</f>
        <v/>
      </c>
      <c r="K7" s="21">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7">
      <c r="A8" s="8" t="inlineStr">
        <is>
          <t>affiliate/index.html</t>
        </is>
      </c>
      <c r="B8" s="9" t="inlineStr">
        <is>
          <t>/affiliate/</t>
        </is>
      </c>
      <c r="C8" s="10">
        <f>$B$1&amp;B8</f>
        <v/>
      </c>
      <c r="D8" s="11" t="inlineStr">
        <is>
          <t>Affiliate Partners | Jonathan Harris</t>
        </is>
      </c>
      <c r="E8" s="11" t="inlineStr">
        <is>
          <t>Standard page route</t>
        </is>
      </c>
      <c r="F8" s="12" t="n"/>
      <c r="G8" s="12" t="n"/>
      <c r="H8" s="11" t="n"/>
      <c r="I8" s="11">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7">
      <c r="A9" s="15" t="inlineStr">
        <is>
          <t>topics/ai-for-beginners/index.html</t>
        </is>
      </c>
      <c r="B9" s="16" t="inlineStr">
        <is>
          <t>/topics/ai-for-beginners/</t>
        </is>
      </c>
      <c r="C9" s="17">
        <f>$B$1&amp;B9</f>
        <v/>
      </c>
      <c r="D9" s="18" t="inlineStr">
        <is>
          <t>AI for Beginners | Jonathan Harris</t>
        </is>
      </c>
      <c r="E9" s="18" t="inlineStr">
        <is>
          <t>Standard page route</t>
        </is>
      </c>
      <c r="F9" s="19" t="n"/>
      <c r="G9" s="19" t="n"/>
      <c r="H9" s="18" t="n"/>
      <c r="I9" s="18">
        <f>IFERROR(VLOOKUP($F9,'BuyNow Redirects'!$C$2:$J$37,5,FALSE),"")</f>
        <v/>
      </c>
      <c r="J9" s="20">
        <f>IFERROR(VLOOKUP($F9,'BuyNow Redirects'!$C$2:$J$37,6,FALSE),"")</f>
        <v/>
      </c>
      <c r="K9" s="21">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7">
      <c r="A10" s="8" t="inlineStr">
        <is>
          <t>topics/ai-in-business/index.html</t>
        </is>
      </c>
      <c r="B10" s="9" t="inlineStr">
        <is>
          <t>/topics/ai-in-business/</t>
        </is>
      </c>
      <c r="C10" s="10">
        <f>$B$1&amp;B10</f>
        <v/>
      </c>
      <c r="D10" s="11" t="inlineStr">
        <is>
          <t>AI in Business | Jonathan Harris</t>
        </is>
      </c>
      <c r="E10" s="11" t="inlineStr">
        <is>
          <t>Standard page route</t>
        </is>
      </c>
      <c r="F10" s="12" t="n"/>
      <c r="G10" s="12" t="n"/>
      <c r="H10" s="18" t="n"/>
      <c r="I10" s="11">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7">
      <c r="A11" s="15" t="inlineStr">
        <is>
          <t>topics/ai-in-healthcare/index.html</t>
        </is>
      </c>
      <c r="B11" s="16" t="inlineStr">
        <is>
          <t>/topics/ai-in-healthcare/</t>
        </is>
      </c>
      <c r="C11" s="17">
        <f>$B$1&amp;B11</f>
        <v/>
      </c>
      <c r="D11" s="18" t="inlineStr">
        <is>
          <t>AI in Healthcare | Jonathan Harris</t>
        </is>
      </c>
      <c r="E11" s="18" t="inlineStr">
        <is>
          <t>Standard page route</t>
        </is>
      </c>
      <c r="F11" s="19" t="n"/>
      <c r="G11" s="19" t="n"/>
      <c r="H11" s="18" t="n"/>
      <c r="I11" s="18">
        <f>IFERROR(VLOOKUP($F11,'BuyNow Redirects'!$C$2:$J$37,5,FALSE),"")</f>
        <v/>
      </c>
      <c r="J11" s="20">
        <f>IFERROR(VLOOKUP($F11,'BuyNow Redirects'!$C$2:$J$37,6,FALSE),"")</f>
        <v/>
      </c>
      <c r="K11" s="21">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7">
      <c r="A12" s="8" t="inlineStr">
        <is>
          <t>api/docs/index.html</t>
        </is>
      </c>
      <c r="B12" s="9" t="inlineStr">
        <is>
          <t>/api/docs/</t>
        </is>
      </c>
      <c r="C12" s="10">
        <f>$B$1&amp;B12</f>
        <v/>
      </c>
      <c r="D12" s="11" t="inlineStr">
        <is>
          <t>API Docs | Jonathan Harris</t>
        </is>
      </c>
      <c r="E12" s="11" t="inlineStr">
        <is>
          <t>Standard page route</t>
        </is>
      </c>
      <c r="F12" s="12" t="n"/>
      <c r="G12" s="12" t="n"/>
      <c r="H12" s="11" t="n"/>
      <c r="I12" s="11">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7">
      <c r="A13" s="15" t="inlineStr">
        <is>
          <t>bio/index.html</t>
        </is>
      </c>
      <c r="B13" s="16" t="inlineStr">
        <is>
          <t>/bio/</t>
        </is>
      </c>
      <c r="C13" s="17">
        <f>$B$1&amp;B13</f>
        <v/>
      </c>
      <c r="D13" s="18" t="inlineStr">
        <is>
          <t>Jonathan Harris — AI Author, Podcast Host &amp; Writer of 36 Plain-English AI Books</t>
        </is>
      </c>
      <c r="E13" s="18" t="inlineStr">
        <is>
          <t>Standard page route</t>
        </is>
      </c>
      <c r="F13" s="19" t="n"/>
      <c r="G13" s="19" t="n"/>
      <c r="H13" s="18" t="n"/>
      <c r="I13" s="18">
        <f>IFERROR(VLOOKUP($F13,'BuyNow Redirects'!$C$2:$J$37,5,FALSE),"")</f>
        <v/>
      </c>
      <c r="J13" s="20">
        <f>IFERROR(VLOOKUP($F13,'BuyNow Redirects'!$C$2:$J$37,6,FALSE),"")</f>
        <v/>
      </c>
      <c r="K13" s="21">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7">
      <c r="A14" s="8" t="inlineStr">
        <is>
          <t>blog/index.html</t>
        </is>
      </c>
      <c r="B14" s="9" t="inlineStr">
        <is>
          <t>/blog/</t>
        </is>
      </c>
      <c r="C14" s="10">
        <f>$B$1&amp;B14</f>
        <v/>
      </c>
      <c r="D14" s="11" t="inlineStr">
        <is>
          <t>AI Blog | Jonathan Harris</t>
        </is>
      </c>
      <c r="E14" s="11" t="inlineStr">
        <is>
          <t>Standard page route</t>
        </is>
      </c>
      <c r="F14" s="12" t="n"/>
      <c r="G14" s="12" t="n"/>
      <c r="H14" s="18" t="n"/>
      <c r="I14" s="11">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7">
      <c r="A15" s="15" t="inlineStr">
        <is>
          <t>blog/weekly/index.html</t>
        </is>
      </c>
      <c r="B15" s="16" t="inlineStr">
        <is>
          <t>/blog/weekly/</t>
        </is>
      </c>
      <c r="C15" s="17">
        <f>$B$1&amp;B15</f>
        <v/>
      </c>
      <c r="D15" s="18" t="inlineStr">
        <is>
          <t>Weekly AI Briefings | Jonathan Harris</t>
        </is>
      </c>
      <c r="E15" s="18" t="inlineStr">
        <is>
          <t>Standard page route</t>
        </is>
      </c>
      <c r="F15" s="19" t="n"/>
      <c r="G15" s="19" t="n"/>
      <c r="H15" s="18" t="n"/>
      <c r="I15" s="18">
        <f>IFERROR(VLOOKUP($F15,'BuyNow Redirects'!$C$2:$J$37,5,FALSE),"")</f>
        <v/>
      </c>
      <c r="J15" s="20">
        <f>IFERROR(VLOOKUP($F15,'BuyNow Redirects'!$C$2:$J$37,6,FALSE),"")</f>
        <v/>
      </c>
      <c r="K15" s="21">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7">
      <c r="A16" s="8" t="inlineStr">
        <is>
          <t>catalogue/agriculture/index.html</t>
        </is>
      </c>
      <c r="B16" s="9" t="inlineStr">
        <is>
          <t>/catalogue/agriculture/</t>
        </is>
      </c>
      <c r="C16" s="10">
        <f>$B$1&amp;B16</f>
        <v/>
      </c>
      <c r="D16" s="11" t="inlineStr">
        <is>
          <t>Agriculture AI Books | Jonathan Harris</t>
        </is>
      </c>
      <c r="E16" s="11" t="inlineStr">
        <is>
          <t>Standard page route</t>
        </is>
      </c>
      <c r="F16" s="12" t="n"/>
      <c r="G16" s="12" t="n"/>
      <c r="H16" s="11" t="n"/>
      <c r="I16" s="11">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7">
      <c r="A17" s="15" t="inlineStr">
        <is>
          <t>catalogue/artificial-intelligence/index.html</t>
        </is>
      </c>
      <c r="B17" s="16" t="inlineStr">
        <is>
          <t>/catalogue/artificial-intelligence/</t>
        </is>
      </c>
      <c r="C17" s="17">
        <f>$B$1&amp;B17</f>
        <v/>
      </c>
      <c r="D17" s="18" t="inlineStr">
        <is>
          <t>Artificial Intelligence AI Books | Jonathan Harris</t>
        </is>
      </c>
      <c r="E17" s="18" t="inlineStr">
        <is>
          <t>Standard page route</t>
        </is>
      </c>
      <c r="F17" s="19" t="n"/>
      <c r="G17" s="19" t="n"/>
      <c r="H17" s="18" t="n"/>
      <c r="I17" s="18">
        <f>IFERROR(VLOOKUP($F17,'BuyNow Redirects'!$C$2:$J$37,5,FALSE),"")</f>
        <v/>
      </c>
      <c r="J17" s="20">
        <f>IFERROR(VLOOKUP($F17,'BuyNow Redirects'!$C$2:$J$37,6,FALSE),"")</f>
        <v/>
      </c>
      <c r="K17" s="21">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7">
      <c r="A18" s="8" t="inlineStr">
        <is>
          <t>catalogue/construction/index.html</t>
        </is>
      </c>
      <c r="B18" s="9" t="inlineStr">
        <is>
          <t>/catalogue/construction/</t>
        </is>
      </c>
      <c r="C18" s="10">
        <f>$B$1&amp;B18</f>
        <v/>
      </c>
      <c r="D18" s="11" t="inlineStr">
        <is>
          <t>Construction AI Books | Jonathan Harris</t>
        </is>
      </c>
      <c r="E18" s="11" t="inlineStr">
        <is>
          <t>Standard page route</t>
        </is>
      </c>
      <c r="F18" s="12" t="n"/>
      <c r="G18" s="12" t="n"/>
      <c r="H18" s="11" t="n"/>
      <c r="I18" s="11">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7">
      <c r="A19" s="15" t="inlineStr">
        <is>
          <t>catalogue/creativity/index.html</t>
        </is>
      </c>
      <c r="B19" s="16" t="inlineStr">
        <is>
          <t>/catalogue/creativity/</t>
        </is>
      </c>
      <c r="C19" s="17">
        <f>$B$1&amp;B19</f>
        <v/>
      </c>
      <c r="D19" s="18" t="inlineStr">
        <is>
          <t>Creativity AI Books | Jonathan Harris</t>
        </is>
      </c>
      <c r="E19" s="18" t="inlineStr">
        <is>
          <t>Standard page route</t>
        </is>
      </c>
      <c r="F19" s="19" t="n"/>
      <c r="G19" s="19" t="n"/>
      <c r="H19" s="18" t="n"/>
      <c r="I19" s="18">
        <f>IFERROR(VLOOKUP($F19,'BuyNow Redirects'!$C$2:$J$37,5,FALSE),"")</f>
        <v/>
      </c>
      <c r="J19" s="20">
        <f>IFERROR(VLOOKUP($F19,'BuyNow Redirects'!$C$2:$J$37,6,FALSE),"")</f>
        <v/>
      </c>
      <c r="K19" s="21">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7">
      <c r="A20" s="8" t="inlineStr">
        <is>
          <t>catalogue/cyber-security/index.html</t>
        </is>
      </c>
      <c r="B20" s="9" t="inlineStr">
        <is>
          <t>/catalogue/cyber-security/</t>
        </is>
      </c>
      <c r="C20" s="10">
        <f>$B$1&amp;B20</f>
        <v/>
      </c>
      <c r="D20" s="11" t="inlineStr">
        <is>
          <t>Cyber Security AI Books | Jonathan Harris</t>
        </is>
      </c>
      <c r="E20" s="11" t="inlineStr">
        <is>
          <t>Standard page route</t>
        </is>
      </c>
      <c r="F20" s="12" t="n"/>
      <c r="G20" s="12" t="n"/>
      <c r="H20" s="11" t="n"/>
      <c r="I20" s="11">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7">
      <c r="A21" s="15" t="inlineStr">
        <is>
          <t>catalogue/defence/index.html</t>
        </is>
      </c>
      <c r="B21" s="16" t="inlineStr">
        <is>
          <t>/catalogue/defence/</t>
        </is>
      </c>
      <c r="C21" s="17">
        <f>$B$1&amp;B21</f>
        <v/>
      </c>
      <c r="D21" s="18" t="inlineStr">
        <is>
          <t>Defence AI Books | Jonathan Harris</t>
        </is>
      </c>
      <c r="E21" s="18" t="inlineStr">
        <is>
          <t>Standard page route</t>
        </is>
      </c>
      <c r="F21" s="19" t="n"/>
      <c r="G21" s="19" t="n"/>
      <c r="H21" s="18" t="n"/>
      <c r="I21" s="18">
        <f>IFERROR(VLOOKUP($F21,'BuyNow Redirects'!$C$2:$J$37,5,FALSE),"")</f>
        <v/>
      </c>
      <c r="J21" s="20">
        <f>IFERROR(VLOOKUP($F21,'BuyNow Redirects'!$C$2:$J$37,6,FALSE),"")</f>
        <v/>
      </c>
      <c r="K21" s="21">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7">
      <c r="A22" s="8" t="inlineStr">
        <is>
          <t>catalogue/education/index.html</t>
        </is>
      </c>
      <c r="B22" s="9" t="inlineStr">
        <is>
          <t>/catalogue/education/</t>
        </is>
      </c>
      <c r="C22" s="10">
        <f>$B$1&amp;B22</f>
        <v/>
      </c>
      <c r="D22" s="11" t="inlineStr">
        <is>
          <t>Education AI Books | Jonathan Harris</t>
        </is>
      </c>
      <c r="E22" s="11" t="inlineStr">
        <is>
          <t>Standard page route</t>
        </is>
      </c>
      <c r="F22" s="12" t="n"/>
      <c r="G22" s="12" t="n"/>
      <c r="H22" s="11" t="n"/>
      <c r="I22" s="11">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7">
      <c r="A23" s="15" t="inlineStr">
        <is>
          <t>catalogue/energy/index.html</t>
        </is>
      </c>
      <c r="B23" s="16" t="inlineStr">
        <is>
          <t>/catalogue/energy/</t>
        </is>
      </c>
      <c r="C23" s="17">
        <f>$B$1&amp;B23</f>
        <v/>
      </c>
      <c r="D23" s="18" t="inlineStr">
        <is>
          <t>Energy AI Books | Jonathan Harris</t>
        </is>
      </c>
      <c r="E23" s="18" t="inlineStr">
        <is>
          <t>Standard page route</t>
        </is>
      </c>
      <c r="F23" s="19" t="n"/>
      <c r="G23" s="19" t="n"/>
      <c r="H23" s="18" t="n"/>
      <c r="I23" s="18">
        <f>IFERROR(VLOOKUP($F23,'BuyNow Redirects'!$C$2:$J$37,5,FALSE),"")</f>
        <v/>
      </c>
      <c r="J23" s="20">
        <f>IFERROR(VLOOKUP($F23,'BuyNow Redirects'!$C$2:$J$37,6,FALSE),"")</f>
        <v/>
      </c>
      <c r="K23" s="21">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7">
      <c r="A24" s="8" t="inlineStr">
        <is>
          <t>catalogue/environment/index.html</t>
        </is>
      </c>
      <c r="B24" s="9" t="inlineStr">
        <is>
          <t>/catalogue/environment/</t>
        </is>
      </c>
      <c r="C24" s="10">
        <f>$B$1&amp;B24</f>
        <v/>
      </c>
      <c r="D24" s="11" t="inlineStr">
        <is>
          <t>Environment AI Books | Jonathan Harris</t>
        </is>
      </c>
      <c r="E24" s="11" t="inlineStr">
        <is>
          <t>Standard page route</t>
        </is>
      </c>
      <c r="F24" s="12" t="n"/>
      <c r="G24" s="12" t="n"/>
      <c r="H24" s="11" t="n"/>
      <c r="I24" s="11">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7">
      <c r="A25" s="15" t="inlineStr">
        <is>
          <t>catalogue/ethics/index.html</t>
        </is>
      </c>
      <c r="B25" s="16" t="inlineStr">
        <is>
          <t>/catalogue/ethics/</t>
        </is>
      </c>
      <c r="C25" s="17">
        <f>$B$1&amp;B25</f>
        <v/>
      </c>
      <c r="D25" s="18" t="inlineStr">
        <is>
          <t>Ethics AI Books | Jonathan Harris</t>
        </is>
      </c>
      <c r="E25" s="18" t="inlineStr">
        <is>
          <t>Standard page route</t>
        </is>
      </c>
      <c r="F25" s="19" t="n"/>
      <c r="G25" s="19" t="n"/>
      <c r="H25" s="18" t="n"/>
      <c r="I25" s="18">
        <f>IFERROR(VLOOKUP($F25,'BuyNow Redirects'!$C$2:$J$37,5,FALSE),"")</f>
        <v/>
      </c>
      <c r="J25" s="20">
        <f>IFERROR(VLOOKUP($F25,'BuyNow Redirects'!$C$2:$J$37,6,FALSE),"")</f>
        <v/>
      </c>
      <c r="K25" s="21">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7">
      <c r="A26" s="8" t="inlineStr">
        <is>
          <t>catalogue/finance/index.html</t>
        </is>
      </c>
      <c r="B26" s="9" t="inlineStr">
        <is>
          <t>/catalogue/finance/</t>
        </is>
      </c>
      <c r="C26" s="10">
        <f>$B$1&amp;B26</f>
        <v/>
      </c>
      <c r="D26" s="11" t="inlineStr">
        <is>
          <t>Finance AI Books | Jonathan Harris</t>
        </is>
      </c>
      <c r="E26" s="11" t="inlineStr">
        <is>
          <t>Standard page route</t>
        </is>
      </c>
      <c r="F26" s="12" t="n"/>
      <c r="G26" s="12" t="n"/>
      <c r="H26" s="11" t="n"/>
      <c r="I26" s="11">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7">
      <c r="A27" s="15" t="inlineStr">
        <is>
          <t>catalogue/future-of-work/index.html</t>
        </is>
      </c>
      <c r="B27" s="16" t="inlineStr">
        <is>
          <t>/catalogue/future-of-work/</t>
        </is>
      </c>
      <c r="C27" s="17">
        <f>$B$1&amp;B27</f>
        <v/>
      </c>
      <c r="D27" s="18" t="inlineStr">
        <is>
          <t>Future of Work AI Books | Jonathan Harris</t>
        </is>
      </c>
      <c r="E27" s="18" t="inlineStr">
        <is>
          <t>Standard page route</t>
        </is>
      </c>
      <c r="F27" s="19" t="n"/>
      <c r="G27" s="19" t="n"/>
      <c r="H27" s="18" t="n"/>
      <c r="I27" s="18">
        <f>IFERROR(VLOOKUP($F27,'BuyNow Redirects'!$C$2:$J$37,5,FALSE),"")</f>
        <v/>
      </c>
      <c r="J27" s="20">
        <f>IFERROR(VLOOKUP($F27,'BuyNow Redirects'!$C$2:$J$37,6,FALSE),"")</f>
        <v/>
      </c>
      <c r="K27" s="21">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7">
      <c r="A28" s="8" t="inlineStr">
        <is>
          <t>catalogue/gaming/index.html</t>
        </is>
      </c>
      <c r="B28" s="9" t="inlineStr">
        <is>
          <t>/catalogue/gaming/</t>
        </is>
      </c>
      <c r="C28" s="10">
        <f>$B$1&amp;B28</f>
        <v/>
      </c>
      <c r="D28" s="11" t="inlineStr">
        <is>
          <t>Gaming AI Books | Jonathan Harris</t>
        </is>
      </c>
      <c r="E28" s="11" t="inlineStr">
        <is>
          <t>Standard page route</t>
        </is>
      </c>
      <c r="F28" s="12" t="n"/>
      <c r="G28" s="12" t="n"/>
      <c r="H28" s="11" t="n"/>
      <c r="I28" s="11">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7">
      <c r="A29" s="15" t="inlineStr">
        <is>
          <t>catalogue/government/index.html</t>
        </is>
      </c>
      <c r="B29" s="16" t="inlineStr">
        <is>
          <t>/catalogue/government/</t>
        </is>
      </c>
      <c r="C29" s="17">
        <f>$B$1&amp;B29</f>
        <v/>
      </c>
      <c r="D29" s="18" t="inlineStr">
        <is>
          <t>Government AI Books | Jonathan Harris</t>
        </is>
      </c>
      <c r="E29" s="18" t="inlineStr">
        <is>
          <t>Standard page route</t>
        </is>
      </c>
      <c r="F29" s="19" t="n"/>
      <c r="G29" s="19" t="n"/>
      <c r="H29" s="18" t="n"/>
      <c r="I29" s="18">
        <f>IFERROR(VLOOKUP($F29,'BuyNow Redirects'!$C$2:$J$37,5,FALSE),"")</f>
        <v/>
      </c>
      <c r="J29" s="20">
        <f>IFERROR(VLOOKUP($F29,'BuyNow Redirects'!$C$2:$J$37,6,FALSE),"")</f>
        <v/>
      </c>
      <c r="K29" s="21">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7">
      <c r="A30" s="8" t="inlineStr">
        <is>
          <t>catalogue/healthcare/index.html</t>
        </is>
      </c>
      <c r="B30" s="9" t="inlineStr">
        <is>
          <t>/catalogue/healthcare/</t>
        </is>
      </c>
      <c r="C30" s="10">
        <f>$B$1&amp;B30</f>
        <v/>
      </c>
      <c r="D30" s="11" t="inlineStr">
        <is>
          <t>Healthcare AI Books | Jonathan Harris</t>
        </is>
      </c>
      <c r="E30" s="11" t="inlineStr">
        <is>
          <t>Standard page route</t>
        </is>
      </c>
      <c r="F30" s="12" t="n"/>
      <c r="G30" s="12" t="n"/>
      <c r="H30" s="11" t="n"/>
      <c r="I30" s="11">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7">
      <c r="A31" s="15" t="inlineStr">
        <is>
          <t>catalogue/history/index.html</t>
        </is>
      </c>
      <c r="B31" s="16" t="inlineStr">
        <is>
          <t>/catalogue/history/</t>
        </is>
      </c>
      <c r="C31" s="17">
        <f>$B$1&amp;B31</f>
        <v/>
      </c>
      <c r="D31" s="18" t="inlineStr">
        <is>
          <t>History AI Books | Jonathan Harris</t>
        </is>
      </c>
      <c r="E31" s="18" t="inlineStr">
        <is>
          <t>Standard page route</t>
        </is>
      </c>
      <c r="F31" s="19" t="n"/>
      <c r="G31" s="19" t="n"/>
      <c r="H31" s="18" t="n"/>
      <c r="I31" s="18">
        <f>IFERROR(VLOOKUP($F31,'BuyNow Redirects'!$C$2:$J$37,5,FALSE),"")</f>
        <v/>
      </c>
      <c r="J31" s="20">
        <f>IFERROR(VLOOKUP($F31,'BuyNow Redirects'!$C$2:$J$37,6,FALSE),"")</f>
        <v/>
      </c>
      <c r="K31" s="21">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7">
      <c r="A32" s="8" t="inlineStr">
        <is>
          <t>catalogue/industry/index.html</t>
        </is>
      </c>
      <c r="B32" s="9" t="inlineStr">
        <is>
          <t>/catalogue/industry/</t>
        </is>
      </c>
      <c r="C32" s="10">
        <f>$B$1&amp;B32</f>
        <v/>
      </c>
      <c r="D32" s="11" t="inlineStr">
        <is>
          <t>Industry AI Books | Jonathan Harris</t>
        </is>
      </c>
      <c r="E32" s="11" t="inlineStr">
        <is>
          <t>Standard page route</t>
        </is>
      </c>
      <c r="F32" s="12" t="n"/>
      <c r="G32" s="12" t="n"/>
      <c r="H32" s="11" t="n"/>
      <c r="I32" s="11">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7">
      <c r="A33" s="15" t="inlineStr">
        <is>
          <t>catalogue/law/index.html</t>
        </is>
      </c>
      <c r="B33" s="16" t="inlineStr">
        <is>
          <t>/catalogue/law/</t>
        </is>
      </c>
      <c r="C33" s="17">
        <f>$B$1&amp;B33</f>
        <v/>
      </c>
      <c r="D33" s="18" t="inlineStr">
        <is>
          <t>Law AI Books | Jonathan Harris</t>
        </is>
      </c>
      <c r="E33" s="18" t="inlineStr">
        <is>
          <t>Standard page route</t>
        </is>
      </c>
      <c r="F33" s="19" t="n"/>
      <c r="G33" s="19" t="n"/>
      <c r="H33" s="18" t="n"/>
      <c r="I33" s="18">
        <f>IFERROR(VLOOKUP($F33,'BuyNow Redirects'!$C$2:$J$37,5,FALSE),"")</f>
        <v/>
      </c>
      <c r="J33" s="20">
        <f>IFERROR(VLOOKUP($F33,'BuyNow Redirects'!$C$2:$J$37,6,FALSE),"")</f>
        <v/>
      </c>
      <c r="K33" s="21">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7">
      <c r="A34" s="8" t="inlineStr">
        <is>
          <t>catalogue/manufacturing/index.html</t>
        </is>
      </c>
      <c r="B34" s="9" t="inlineStr">
        <is>
          <t>/catalogue/manufacturing/</t>
        </is>
      </c>
      <c r="C34" s="10">
        <f>$B$1&amp;B34</f>
        <v/>
      </c>
      <c r="D34" s="11" t="inlineStr">
        <is>
          <t>Manufacturing AI Books | Jonathan Harris</t>
        </is>
      </c>
      <c r="E34" s="11" t="inlineStr">
        <is>
          <t>Standard page route</t>
        </is>
      </c>
      <c r="F34" s="12" t="n"/>
      <c r="G34" s="12" t="n"/>
      <c r="H34" s="11" t="n"/>
      <c r="I34" s="11">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7">
      <c r="A35" s="15" t="inlineStr">
        <is>
          <t>catalogue/media/index.html</t>
        </is>
      </c>
      <c r="B35" s="16" t="inlineStr">
        <is>
          <t>/catalogue/media/</t>
        </is>
      </c>
      <c r="C35" s="17">
        <f>$B$1&amp;B35</f>
        <v/>
      </c>
      <c r="D35" s="18" t="inlineStr">
        <is>
          <t>Media AI Books | Jonathan Harris</t>
        </is>
      </c>
      <c r="E35" s="18" t="inlineStr">
        <is>
          <t>Standard page route</t>
        </is>
      </c>
      <c r="F35" s="19" t="n"/>
      <c r="G35" s="19" t="n"/>
      <c r="H35" s="18" t="n"/>
      <c r="I35" s="18">
        <f>IFERROR(VLOOKUP($F35,'BuyNow Redirects'!$C$2:$J$37,5,FALSE),"")</f>
        <v/>
      </c>
      <c r="J35" s="20">
        <f>IFERROR(VLOOKUP($F35,'BuyNow Redirects'!$C$2:$J$37,6,FALSE),"")</f>
        <v/>
      </c>
      <c r="K35" s="21">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7">
      <c r="A36" s="8" t="inlineStr">
        <is>
          <t>catalogue/retail/index.html</t>
        </is>
      </c>
      <c r="B36" s="9" t="inlineStr">
        <is>
          <t>/catalogue/retail/</t>
        </is>
      </c>
      <c r="C36" s="10">
        <f>$B$1&amp;B36</f>
        <v/>
      </c>
      <c r="D36" s="11" t="inlineStr">
        <is>
          <t>Retail AI Books | Jonathan Harris</t>
        </is>
      </c>
      <c r="E36" s="11" t="inlineStr">
        <is>
          <t>Standard page route</t>
        </is>
      </c>
      <c r="F36" s="12" t="n"/>
      <c r="G36" s="12" t="n"/>
      <c r="H36" s="11" t="n"/>
      <c r="I36" s="11">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7">
      <c r="A37" s="15" t="inlineStr">
        <is>
          <t>catalogue/science/index.html</t>
        </is>
      </c>
      <c r="B37" s="16" t="inlineStr">
        <is>
          <t>/catalogue/science/</t>
        </is>
      </c>
      <c r="C37" s="17">
        <f>$B$1&amp;B37</f>
        <v/>
      </c>
      <c r="D37" s="18" t="inlineStr">
        <is>
          <t>Science AI Books | Jonathan Harris</t>
        </is>
      </c>
      <c r="E37" s="18" t="inlineStr">
        <is>
          <t>Standard page route</t>
        </is>
      </c>
      <c r="F37" s="19" t="n"/>
      <c r="G37" s="19" t="n"/>
      <c r="H37" s="18" t="n"/>
      <c r="I37" s="18">
        <f>IFERROR(VLOOKUP($F37,'BuyNow Redirects'!$C$2:$J$37,5,FALSE),"")</f>
        <v/>
      </c>
      <c r="J37" s="20">
        <f>IFERROR(VLOOKUP($F37,'BuyNow Redirects'!$C$2:$J$37,6,FALSE),"")</f>
        <v/>
      </c>
      <c r="K37" s="21">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7">
      <c r="A38" s="8" t="inlineStr">
        <is>
          <t>catalogue/sports/index.html</t>
        </is>
      </c>
      <c r="B38" s="9" t="inlineStr">
        <is>
          <t>/catalogue/sports/</t>
        </is>
      </c>
      <c r="C38" s="10">
        <f>$B$1&amp;B38</f>
        <v/>
      </c>
      <c r="D38" s="11" t="inlineStr">
        <is>
          <t>Sports AI Books | Jonathan Harris</t>
        </is>
      </c>
      <c r="E38" s="11" t="inlineStr">
        <is>
          <t>Standard page route</t>
        </is>
      </c>
      <c r="F38" s="12" t="n"/>
      <c r="G38" s="12" t="n"/>
      <c r="H38" s="11" t="n"/>
      <c r="I38" s="11">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7">
      <c r="A39" s="15" t="inlineStr">
        <is>
          <t>catalogue/transportation/index.html</t>
        </is>
      </c>
      <c r="B39" s="16" t="inlineStr">
        <is>
          <t>/catalogue/transportation/</t>
        </is>
      </c>
      <c r="C39" s="17">
        <f>$B$1&amp;B39</f>
        <v/>
      </c>
      <c r="D39" s="18" t="inlineStr">
        <is>
          <t>Transportation AI Books | Jonathan Harris</t>
        </is>
      </c>
      <c r="E39" s="18" t="inlineStr">
        <is>
          <t>Standard page route</t>
        </is>
      </c>
      <c r="F39" s="19" t="n"/>
      <c r="G39" s="19" t="n"/>
      <c r="H39" s="18" t="n"/>
      <c r="I39" s="18">
        <f>IFERROR(VLOOKUP($F39,'BuyNow Redirects'!$C$2:$J$37,5,FALSE),"")</f>
        <v/>
      </c>
      <c r="J39" s="20">
        <f>IFERROR(VLOOKUP($F39,'BuyNow Redirects'!$C$2:$J$37,6,FALSE),"")</f>
        <v/>
      </c>
      <c r="K39" s="21">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7">
      <c r="A40" s="8" t="inlineStr">
        <is>
          <t>compare/index.html</t>
        </is>
      </c>
      <c r="B40" s="9" t="inlineStr">
        <is>
          <t>/compare/</t>
        </is>
      </c>
      <c r="C40" s="10">
        <f>$B$1&amp;B40</f>
        <v/>
      </c>
      <c r="D40" s="11" t="inlineStr">
        <is>
          <t>AI Topic Comparisons | Jonathan Harris</t>
        </is>
      </c>
      <c r="E40" s="11" t="inlineStr">
        <is>
          <t>Standard page route</t>
        </is>
      </c>
      <c r="F40" s="12" t="n"/>
      <c r="G40" s="12" t="n"/>
      <c r="H40" s="11" t="n"/>
      <c r="I40" s="11">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7">
      <c r="A41" s="15" t="inlineStr">
        <is>
          <t>contact/index.html</t>
        </is>
      </c>
      <c r="B41" s="16" t="inlineStr">
        <is>
          <t>/contact/</t>
        </is>
      </c>
      <c r="C41" s="17">
        <f>$B$1&amp;B41</f>
        <v/>
      </c>
      <c r="D41" s="18" t="inlineStr">
        <is>
          <t>Get in Touch | Jonathan Harris</t>
        </is>
      </c>
      <c r="E41" s="18" t="inlineStr">
        <is>
          <t>Standard page route</t>
        </is>
      </c>
      <c r="F41" s="19" t="n"/>
      <c r="G41" s="19" t="n"/>
      <c r="H41" s="18" t="n"/>
      <c r="I41" s="18">
        <f>IFERROR(VLOOKUP($F41,'BuyNow Redirects'!$C$2:$J$37,5,FALSE),"")</f>
        <v/>
      </c>
      <c r="J41" s="20">
        <f>IFERROR(VLOOKUP($F41,'BuyNow Redirects'!$C$2:$J$37,6,FALSE),"")</f>
        <v/>
      </c>
      <c r="K41" s="21">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7">
      <c r="A42" s="8" t="inlineStr">
        <is>
          <t>ebooks/index.html</t>
        </is>
      </c>
      <c r="B42" s="9" t="inlineStr">
        <is>
          <t>/ebooks/</t>
        </is>
      </c>
      <c r="C42" s="10">
        <f>$B$1&amp;B42</f>
        <v/>
      </c>
      <c r="D42" s="11" t="inlineStr">
        <is>
          <t>AI eBooks Catalogue | Jonathan Harris</t>
        </is>
      </c>
      <c r="E42" s="11" t="inlineStr">
        <is>
          <t>Standard page route</t>
        </is>
      </c>
      <c r="F42" s="12" t="n"/>
      <c r="G42" s="12" t="n"/>
      <c r="H42" s="11" t="n"/>
      <c r="I42" s="11">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7">
      <c r="A43" s="15" t="inlineStr">
        <is>
          <t>ebooks/ai-and-formula-1-redefining-speed-and-strategy-with-intelligent-technology/index.html</t>
        </is>
      </c>
      <c r="B43" s="16" t="inlineStr">
        <is>
          <t>/ebooks/ai-and-formula-1-redefining-speed-and-strategy-with-intelligent-technology/</t>
        </is>
      </c>
      <c r="C43" s="17">
        <f>$B$1&amp;B43</f>
        <v/>
      </c>
      <c r="D43" s="18" t="inlineStr">
        <is>
          <t>AI and Formula 1 | Jonathan Harris</t>
        </is>
      </c>
      <c r="E43" s="18" t="inlineStr">
        <is>
          <t>Canonical ebook route</t>
        </is>
      </c>
      <c r="F43" s="19" t="inlineStr">
        <is>
          <t>https://jonathan-harris.online/ebooks/ai-and-formula-1-redefining-speed-and-strategy-with-intelligent-technology/buy-now</t>
        </is>
      </c>
      <c r="G43" s="19" t="inlineStr">
        <is>
          <t>https://mybook.to/Gi93rOF</t>
        </is>
      </c>
      <c r="H43" s="18" t="n"/>
      <c r="I43" s="18">
        <f>IFERROR(VLOOKUP($F43,'BuyNow Redirects'!$C$2:$J$37,5,FALSE),"")</f>
        <v/>
      </c>
      <c r="J43" s="20">
        <f>IFERROR(VLOOKUP($F43,'BuyNow Redirects'!$C$2:$J$37,6,FALSE),"")</f>
        <v/>
      </c>
      <c r="K43" s="21">
        <f>IFERROR(VLOOKUP($F43,'BuyNow Redirects'!$C$2:$J$37,7,FALSE),"")</f>
        <v/>
      </c>
      <c r="L43" s="22">
        <f>IFERROR(VLOOKUP($F43,'BuyNow Redirects'!$C$2:$J$37,8,FALSE),"")</f>
        <v/>
      </c>
      <c r="M43" s="6" t="n"/>
      <c r="N43" s="6" t="n"/>
      <c r="O43" s="6" t="n"/>
      <c r="P43" s="6" t="n"/>
      <c r="Q43" s="6" t="n"/>
      <c r="R43" s="6" t="n"/>
      <c r="S43" s="6" t="n"/>
      <c r="T43" s="6" t="n"/>
      <c r="U43" s="6" t="n"/>
      <c r="V43" s="6" t="n"/>
      <c r="W43" s="6" t="n"/>
      <c r="X43" s="6" t="n"/>
      <c r="Y43" s="6" t="n"/>
      <c r="Z43" s="6" t="n"/>
    </row>
    <row r="44" ht="21" customHeight="1" s="37">
      <c r="A44" s="8" t="inlineStr">
        <is>
          <t>ebooks/ai-in-agriculture-revolutionizing-farming-for-a-sustainable-future/index.html</t>
        </is>
      </c>
      <c r="B44" s="9" t="inlineStr">
        <is>
          <t>/ebooks/ai-in-agriculture-revolutionizing-farming-for-a-sustainable-future/</t>
        </is>
      </c>
      <c r="C44" s="10">
        <f>$B$1&amp;B44</f>
        <v/>
      </c>
      <c r="D44" s="11" t="inlineStr">
        <is>
          <t>AI in Agriculture | Jonathan Harris</t>
        </is>
      </c>
      <c r="E44" s="11" t="inlineStr">
        <is>
          <t>Canonical ebook route</t>
        </is>
      </c>
      <c r="F44" s="12" t="inlineStr">
        <is>
          <t>https://jonathan-harris.online/ebooks/ai-in-agriculture-revolutionizing-farming-for-a-sustainable-future/buy-now</t>
        </is>
      </c>
      <c r="G44" s="12" t="inlineStr">
        <is>
          <t>https://mybook.to/PsciMD5</t>
        </is>
      </c>
      <c r="H44" s="11" t="n"/>
      <c r="I44" s="11">
        <f>IFERROR(VLOOKUP($F44,'BuyNow Redirects'!$C$2:$J$37,5,FALSE),"")</f>
        <v/>
      </c>
      <c r="J44" s="13">
        <f>IFERROR(VLOOKUP($F44,'BuyNow Redirects'!$C$2:$J$37,6,FALSE),"")</f>
        <v/>
      </c>
      <c r="K44" s="14">
        <f>IFERROR(VLOOKUP($F44,'BuyNow Redirects'!$C$2:$J$37,7,FALSE),"")</f>
        <v/>
      </c>
      <c r="L44" s="23">
        <f>IFERROR(VLOOKUP($F44,'BuyNow Redirects'!$C$2:$J$37,8,FALSE),"")</f>
        <v/>
      </c>
      <c r="M44" s="6" t="n"/>
      <c r="N44" s="6" t="n"/>
      <c r="O44" s="6" t="n"/>
      <c r="P44" s="6" t="n"/>
      <c r="Q44" s="6" t="n"/>
      <c r="R44" s="6" t="n"/>
      <c r="S44" s="6" t="n"/>
      <c r="T44" s="6" t="n"/>
      <c r="U44" s="6" t="n"/>
      <c r="V44" s="6" t="n"/>
      <c r="W44" s="6" t="n"/>
      <c r="X44" s="6" t="n"/>
      <c r="Y44" s="6" t="n"/>
      <c r="Z44" s="6" t="n"/>
    </row>
    <row r="45" ht="21" customHeight="1" s="37">
      <c r="A45" s="15" t="inlineStr">
        <is>
          <t>ebooks/ai-in-aviation-transforming-safety-and-sustainability/index.html</t>
        </is>
      </c>
      <c r="B45" s="16" t="inlineStr">
        <is>
          <t>/ebooks/ai-in-aviation-transforming-safety-and-sustainability/</t>
        </is>
      </c>
      <c r="C45" s="17">
        <f>$B$1&amp;B45</f>
        <v/>
      </c>
      <c r="D45" s="18" t="inlineStr">
        <is>
          <t>AI in Aviation | Jonathan Harris</t>
        </is>
      </c>
      <c r="E45" s="18" t="inlineStr">
        <is>
          <t>Canonical ebook route</t>
        </is>
      </c>
      <c r="F45" s="19" t="inlineStr">
        <is>
          <t>https://jonathan-harris.online/ebooks/ai-in-aviation-transforming-safety-and-sustainability/buy-now</t>
        </is>
      </c>
      <c r="G45" s="19" t="inlineStr">
        <is>
          <t>https://mybook.to/13VF</t>
        </is>
      </c>
      <c r="H45" s="18" t="n"/>
      <c r="I45" s="18">
        <f>IFERROR(VLOOKUP($F45,'BuyNow Redirects'!$C$2:$J$37,5,FALSE),"")</f>
        <v/>
      </c>
      <c r="J45" s="20">
        <f>IFERROR(VLOOKUP($F45,'BuyNow Redirects'!$C$2:$J$37,6,FALSE),"")</f>
        <v/>
      </c>
      <c r="K45" s="21">
        <f>IFERROR(VLOOKUP($F45,'BuyNow Redirects'!$C$2:$J$37,7,FALSE),"")</f>
        <v/>
      </c>
      <c r="L45" s="22">
        <f>IFERROR(VLOOKUP($F45,'BuyNow Redirects'!$C$2:$J$37,8,FALSE),"")</f>
        <v/>
      </c>
      <c r="M45" s="6" t="n"/>
      <c r="N45" s="6" t="n"/>
      <c r="O45" s="6" t="n"/>
      <c r="P45" s="6" t="n"/>
      <c r="Q45" s="6" t="n"/>
      <c r="R45" s="6" t="n"/>
      <c r="S45" s="6" t="n"/>
      <c r="T45" s="6" t="n"/>
      <c r="U45" s="6" t="n"/>
      <c r="V45" s="6" t="n"/>
      <c r="W45" s="6" t="n"/>
      <c r="X45" s="6" t="n"/>
      <c r="Y45" s="6" t="n"/>
      <c r="Z45" s="6" t="n"/>
    </row>
    <row r="46" ht="21" customHeight="1" s="37">
      <c r="A46" s="8" t="inlineStr">
        <is>
          <t>ebooks/ai-in-education-reimagining-learning-for-every-student/index.html</t>
        </is>
      </c>
      <c r="B46" s="9" t="inlineStr">
        <is>
          <t>/ebooks/ai-in-education-reimagining-learning-for-every-student/</t>
        </is>
      </c>
      <c r="C46" s="10">
        <f>$B$1&amp;B46</f>
        <v/>
      </c>
      <c r="D46" s="11" t="inlineStr">
        <is>
          <t>AI in Education: Reimagining Learning for Every Student | Jonathan Harris</t>
        </is>
      </c>
      <c r="E46" s="11" t="inlineStr">
        <is>
          <t>Canonical ebook route</t>
        </is>
      </c>
      <c r="F46" s="12" t="inlineStr">
        <is>
          <t>https://jonathan-harris.online/ebooks/ai-in-education-reimagining-learning-for-every-student/buy-now</t>
        </is>
      </c>
      <c r="G46" s="12" t="inlineStr">
        <is>
          <t>https://mybook.to/Ldhe41</t>
        </is>
      </c>
      <c r="H46" s="11" t="n"/>
      <c r="I46" s="11">
        <f>IFERROR(VLOOKUP($F46,'BuyNow Redirects'!$C$2:$J$37,5,FALSE),"")</f>
        <v/>
      </c>
      <c r="J46" s="13">
        <f>IFERROR(VLOOKUP($F46,'BuyNow Redirects'!$C$2:$J$37,6,FALSE),"")</f>
        <v/>
      </c>
      <c r="K46" s="14">
        <f>IFERROR(VLOOKUP($F46,'BuyNow Redirects'!$C$2:$J$37,7,FALSE),"")</f>
        <v/>
      </c>
      <c r="L46" s="23">
        <f>IFERROR(VLOOKUP($F46,'BuyNow Redirects'!$C$2:$J$37,8,FALSE),"")</f>
        <v/>
      </c>
      <c r="M46" s="6" t="n"/>
      <c r="N46" s="6" t="n"/>
      <c r="O46" s="6" t="n"/>
      <c r="P46" s="6" t="n"/>
      <c r="Q46" s="6" t="n"/>
      <c r="R46" s="6" t="n"/>
      <c r="S46" s="6" t="n"/>
      <c r="T46" s="6" t="n"/>
      <c r="U46" s="6" t="n"/>
      <c r="V46" s="6" t="n"/>
      <c r="W46" s="6" t="n"/>
      <c r="X46" s="6" t="n"/>
      <c r="Y46" s="6" t="n"/>
      <c r="Z46" s="6" t="n"/>
    </row>
    <row r="47" ht="21" customHeight="1" s="37">
      <c r="A47" s="15" t="inlineStr">
        <is>
          <t>ebooks/ai-in-maritime-revolutionizing-shipping-for-sustainability/index.html</t>
        </is>
      </c>
      <c r="B47" s="16" t="inlineStr">
        <is>
          <t>/ebooks/ai-in-maritime-revolutionizing-shipping-for-sustainability/</t>
        </is>
      </c>
      <c r="C47" s="17">
        <f>$B$1&amp;B47</f>
        <v/>
      </c>
      <c r="D47" s="18" t="inlineStr">
        <is>
          <t>AI in Maritime | Jonathan Harris</t>
        </is>
      </c>
      <c r="E47" s="18" t="inlineStr">
        <is>
          <t>Canonical ebook route</t>
        </is>
      </c>
      <c r="F47" s="19" t="inlineStr">
        <is>
          <t>https://jonathan-harris.online/ebooks/ai-in-maritime-revolutionizing-shipping-for-sustainability/buy-now</t>
        </is>
      </c>
      <c r="G47" s="19" t="inlineStr">
        <is>
          <t>https://mybook.to/yANzV8</t>
        </is>
      </c>
      <c r="H47" s="18" t="n"/>
      <c r="I47" s="18">
        <f>IFERROR(VLOOKUP($F47,'BuyNow Redirects'!$C$2:$J$37,5,FALSE),"")</f>
        <v/>
      </c>
      <c r="J47" s="20">
        <f>IFERROR(VLOOKUP($F47,'BuyNow Redirects'!$C$2:$J$37,6,FALSE),"")</f>
        <v/>
      </c>
      <c r="K47" s="21">
        <f>IFERROR(VLOOKUP($F47,'BuyNow Redirects'!$C$2:$J$37,7,FALSE),"")</f>
        <v/>
      </c>
      <c r="L47" s="22">
        <f>IFERROR(VLOOKUP($F47,'BuyNow Redirects'!$C$2:$J$37,8,FALSE),"")</f>
        <v/>
      </c>
      <c r="M47" s="6" t="n"/>
      <c r="N47" s="6" t="n"/>
      <c r="O47" s="6" t="n"/>
      <c r="P47" s="6" t="n"/>
      <c r="Q47" s="6" t="n"/>
      <c r="R47" s="6" t="n"/>
      <c r="S47" s="6" t="n"/>
      <c r="T47" s="6" t="n"/>
      <c r="U47" s="6" t="n"/>
      <c r="V47" s="6" t="n"/>
      <c r="W47" s="6" t="n"/>
      <c r="X47" s="6" t="n"/>
      <c r="Y47" s="6" t="n"/>
      <c r="Z47" s="6" t="n"/>
    </row>
    <row r="48" ht="21" customHeight="1" s="37">
      <c r="A48" s="8" t="inlineStr">
        <is>
          <t>ebooks/ai-powered-smart-grid-revolutionizing-electricity-distribution-and-generation/index.html</t>
        </is>
      </c>
      <c r="B48" s="9" t="inlineStr">
        <is>
          <t>/ebooks/ai-powered-smart-grid-revolutionizing-electricity-distribution-and-generation/</t>
        </is>
      </c>
      <c r="C48" s="10">
        <f>$B$1&amp;B48</f>
        <v/>
      </c>
      <c r="D48" s="11" t="inlineStr">
        <is>
          <t>AI-Powered Smart Grid | Jonathan Harris</t>
        </is>
      </c>
      <c r="E48" s="11" t="inlineStr">
        <is>
          <t>Canonical ebook route</t>
        </is>
      </c>
      <c r="F48" s="12" t="inlineStr">
        <is>
          <t>https://jonathan-harris.online/ebooks/ai-powered-smart-grid-revolutionizing-electricity-distribution-and-generation/buy-now</t>
        </is>
      </c>
      <c r="G48" s="12" t="inlineStr">
        <is>
          <t>https://mybook.to/sntL</t>
        </is>
      </c>
      <c r="H48" s="11" t="n"/>
      <c r="I48" s="11">
        <f>IFERROR(VLOOKUP($F48,'BuyNow Redirects'!$C$2:$J$37,5,FALSE),"")</f>
        <v/>
      </c>
      <c r="J48" s="13">
        <f>IFERROR(VLOOKUP($F48,'BuyNow Redirects'!$C$2:$J$37,6,FALSE),"")</f>
        <v/>
      </c>
      <c r="K48" s="14">
        <f>IFERROR(VLOOKUP($F48,'BuyNow Redirects'!$C$2:$J$37,7,FALSE),"")</f>
        <v/>
      </c>
      <c r="L48" s="23">
        <f>IFERROR(VLOOKUP($F48,'BuyNow Redirects'!$C$2:$J$37,8,FALSE),"")</f>
        <v/>
      </c>
      <c r="M48" s="6" t="n"/>
      <c r="N48" s="6" t="n"/>
      <c r="O48" s="6" t="n"/>
      <c r="P48" s="6" t="n"/>
      <c r="Q48" s="6" t="n"/>
      <c r="R48" s="6" t="n"/>
      <c r="S48" s="6" t="n"/>
      <c r="T48" s="6" t="n"/>
      <c r="U48" s="6" t="n"/>
      <c r="V48" s="6" t="n"/>
      <c r="W48" s="6" t="n"/>
      <c r="X48" s="6" t="n"/>
      <c r="Y48" s="6" t="n"/>
      <c r="Z48" s="6" t="n"/>
    </row>
    <row r="49" ht="21" customHeight="1" s="37">
      <c r="A49" s="15" t="inlineStr">
        <is>
          <t>ebooks/ai-revolution-in-railways-modernizing-travel-for-a-smarter-future/index.html</t>
        </is>
      </c>
      <c r="B49" s="16" t="inlineStr">
        <is>
          <t>/ebooks/ai-revolution-in-railways-modernizing-travel-for-a-smarter-future/</t>
        </is>
      </c>
      <c r="C49" s="17">
        <f>$B$1&amp;B49</f>
        <v/>
      </c>
      <c r="D49" s="18" t="inlineStr">
        <is>
          <t>AI Revolution in Railways | Jonathan Harris</t>
        </is>
      </c>
      <c r="E49" s="18" t="inlineStr">
        <is>
          <t>Canonical ebook route</t>
        </is>
      </c>
      <c r="F49" s="19" t="inlineStr">
        <is>
          <t>https://jonathan-harris.online/ebooks/ai-revolution-in-railways-modernizing-travel-for-a-smarter-future/buy-now</t>
        </is>
      </c>
      <c r="G49" s="19" t="inlineStr">
        <is>
          <t>https://mybook.to/JkJfDp</t>
        </is>
      </c>
      <c r="H49" s="18" t="n"/>
      <c r="I49" s="18">
        <f>IFERROR(VLOOKUP($F49,'BuyNow Redirects'!$C$2:$J$37,5,FALSE),"")</f>
        <v/>
      </c>
      <c r="J49" s="20">
        <f>IFERROR(VLOOKUP($F49,'BuyNow Redirects'!$C$2:$J$37,6,FALSE),"")</f>
        <v/>
      </c>
      <c r="K49" s="21">
        <f>IFERROR(VLOOKUP($F49,'BuyNow Redirects'!$C$2:$J$37,7,FALSE),"")</f>
        <v/>
      </c>
      <c r="L49" s="22">
        <f>IFERROR(VLOOKUP($F49,'BuyNow Redirects'!$C$2:$J$37,8,FALSE),"")</f>
        <v/>
      </c>
      <c r="M49" s="6" t="n"/>
      <c r="N49" s="6" t="n"/>
      <c r="O49" s="6" t="n"/>
      <c r="P49" s="6" t="n"/>
      <c r="Q49" s="6" t="n"/>
      <c r="R49" s="6" t="n"/>
      <c r="S49" s="6" t="n"/>
      <c r="T49" s="6" t="n"/>
      <c r="U49" s="6" t="n"/>
      <c r="V49" s="6" t="n"/>
      <c r="W49" s="6" t="n"/>
      <c r="X49" s="6" t="n"/>
      <c r="Y49" s="6" t="n"/>
      <c r="Z49" s="6" t="n"/>
    </row>
    <row r="50" ht="21" customHeight="1" s="37">
      <c r="A50" s="8" t="inlineStr">
        <is>
          <t>ebooks/artificial-intelligence-and-the-law-case-studies-and-future-trends/index.html</t>
        </is>
      </c>
      <c r="B50" s="9" t="inlineStr">
        <is>
          <t>/ebooks/artificial-intelligence-and-the-law-case-studies-and-future-trends/</t>
        </is>
      </c>
      <c r="C50" s="10">
        <f>$B$1&amp;B50</f>
        <v/>
      </c>
      <c r="D50" s="11" t="inlineStr">
        <is>
          <t>AI and the Law | Jonathan Harris</t>
        </is>
      </c>
      <c r="E50" s="11" t="inlineStr">
        <is>
          <t>Canonical ebook route</t>
        </is>
      </c>
      <c r="F50" s="12" t="inlineStr">
        <is>
          <t>https://jonathan-harris.online/ebooks/artificial-intelligence-and-the-law-case-studies-and-future-trends/buy-now</t>
        </is>
      </c>
      <c r="G50" s="12" t="inlineStr">
        <is>
          <t>https://mybook.to/bWpjeB</t>
        </is>
      </c>
      <c r="H50" s="11" t="n"/>
      <c r="I50" s="11">
        <f>IFERROR(VLOOKUP($F50,'BuyNow Redirects'!$C$2:$J$37,5,FALSE),"")</f>
        <v/>
      </c>
      <c r="J50" s="13">
        <f>IFERROR(VLOOKUP($F50,'BuyNow Redirects'!$C$2:$J$37,6,FALSE),"")</f>
        <v/>
      </c>
      <c r="K50" s="14">
        <f>IFERROR(VLOOKUP($F50,'BuyNow Redirects'!$C$2:$J$37,7,FALSE),"")</f>
        <v/>
      </c>
      <c r="L50" s="23">
        <f>IFERROR(VLOOKUP($F50,'BuyNow Redirects'!$C$2:$J$37,8,FALSE),"")</f>
        <v/>
      </c>
      <c r="M50" s="6" t="n"/>
      <c r="N50" s="6" t="n"/>
      <c r="O50" s="6" t="n"/>
      <c r="P50" s="6" t="n"/>
      <c r="Q50" s="6" t="n"/>
      <c r="R50" s="6" t="n"/>
      <c r="S50" s="6" t="n"/>
      <c r="T50" s="6" t="n"/>
      <c r="U50" s="6" t="n"/>
      <c r="V50" s="6" t="n"/>
      <c r="W50" s="6" t="n"/>
      <c r="X50" s="6" t="n"/>
      <c r="Y50" s="6" t="n"/>
      <c r="Z50" s="6" t="n"/>
    </row>
    <row r="51" ht="21" customHeight="1" s="37">
      <c r="A51" s="15" t="inlineStr">
        <is>
          <t>ebooks/artificial-intelligence-for-cyber-security-a-practical-guide-to-data-breach-prevention/index.html</t>
        </is>
      </c>
      <c r="B51" s="16" t="inlineStr">
        <is>
          <t>/ebooks/artificial-intelligence-for-cyber-security-a-practical-guide-to-data-breach-prevention/</t>
        </is>
      </c>
      <c r="C51" s="17">
        <f>$B$1&amp;B51</f>
        <v/>
      </c>
      <c r="D51" s="18" t="inlineStr">
        <is>
          <t>AI for Cyber Security | Jonathan Harris</t>
        </is>
      </c>
      <c r="E51" s="18" t="inlineStr">
        <is>
          <t>Canonical ebook route</t>
        </is>
      </c>
      <c r="F51" s="19" t="inlineStr">
        <is>
          <t>https://jonathan-harris.online/ebooks/artificial-intelligence-for-cyber-security-a-practical-guide-to-data-breach-prevention/buy-now</t>
        </is>
      </c>
      <c r="G51" s="19" t="inlineStr">
        <is>
          <t>https://mybook.to/9Wvf</t>
        </is>
      </c>
      <c r="H51" s="18" t="n"/>
      <c r="I51" s="18">
        <f>IFERROR(VLOOKUP($F51,'BuyNow Redirects'!$C$2:$J$37,5,FALSE),"")</f>
        <v/>
      </c>
      <c r="J51" s="20">
        <f>IFERROR(VLOOKUP($F51,'BuyNow Redirects'!$C$2:$J$37,6,FALSE),"")</f>
        <v/>
      </c>
      <c r="K51" s="21">
        <f>IFERROR(VLOOKUP($F51,'BuyNow Redirects'!$C$2:$J$37,7,FALSE),"")</f>
        <v/>
      </c>
      <c r="L51" s="22">
        <f>IFERROR(VLOOKUP($F51,'BuyNow Redirects'!$C$2:$J$37,8,FALSE),"")</f>
        <v/>
      </c>
      <c r="M51" s="6" t="n"/>
      <c r="N51" s="6" t="n"/>
      <c r="O51" s="6" t="n"/>
      <c r="P51" s="6" t="n"/>
      <c r="Q51" s="6" t="n"/>
      <c r="R51" s="6" t="n"/>
      <c r="S51" s="6" t="n"/>
      <c r="T51" s="6" t="n"/>
      <c r="U51" s="6" t="n"/>
      <c r="V51" s="6" t="n"/>
      <c r="W51" s="6" t="n"/>
      <c r="X51" s="6" t="n"/>
      <c r="Y51" s="6" t="n"/>
      <c r="Z51" s="6" t="n"/>
    </row>
    <row r="52" ht="21" customHeight="1" s="37">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11" t="inlineStr">
        <is>
          <t>AI for Wildlife Conservation | Jonathan Harris</t>
        </is>
      </c>
      <c r="E52" s="11" t="inlineStr">
        <is>
          <t>Canonical ebook route</t>
        </is>
      </c>
      <c r="F52" s="12" t="inlineStr">
        <is>
          <t>https://jonathan-harris.online/ebooks/artificial-intelligence-for-wildlife-conservation-revolutionizing-biodiversity-protection-through-technology/buy-now</t>
        </is>
      </c>
      <c r="G52" s="12" t="inlineStr">
        <is>
          <t>https://mybook.to/94Q3</t>
        </is>
      </c>
      <c r="H52" s="11" t="n"/>
      <c r="I52" s="11">
        <f>IFERROR(VLOOKUP($F52,'BuyNow Redirects'!$C$2:$J$37,5,FALSE),"")</f>
        <v/>
      </c>
      <c r="J52" s="13">
        <f>IFERROR(VLOOKUP($F52,'BuyNow Redirects'!$C$2:$J$37,6,FALSE),"")</f>
        <v/>
      </c>
      <c r="K52" s="14">
        <f>IFERROR(VLOOKUP($F52,'BuyNow Redirects'!$C$2:$J$37,7,FALSE),"")</f>
        <v/>
      </c>
      <c r="L52" s="23">
        <f>IFERROR(VLOOKUP($F52,'BuyNow Redirects'!$C$2:$J$37,8,FALSE),"")</f>
        <v/>
      </c>
      <c r="M52" s="6" t="n"/>
      <c r="N52" s="6" t="n"/>
      <c r="O52" s="6" t="n"/>
      <c r="P52" s="6" t="n"/>
      <c r="Q52" s="6" t="n"/>
      <c r="R52" s="6" t="n"/>
      <c r="S52" s="6" t="n"/>
      <c r="T52" s="6" t="n"/>
      <c r="U52" s="6" t="n"/>
      <c r="V52" s="6" t="n"/>
      <c r="W52" s="6" t="n"/>
      <c r="X52" s="6" t="n"/>
      <c r="Y52" s="6" t="n"/>
      <c r="Z52" s="6" t="n"/>
    </row>
    <row r="53" ht="21" customHeight="1" s="37">
      <c r="A53" s="15" t="inlineStr">
        <is>
          <t>ebooks/artificial-intelligence-in-banking-revolutionizing-finance-and-data-security/index.html</t>
        </is>
      </c>
      <c r="B53" s="16" t="inlineStr">
        <is>
          <t>/ebooks/artificial-intelligence-in-banking-revolutionizing-finance-and-data-security/</t>
        </is>
      </c>
      <c r="C53" s="17">
        <f>$B$1&amp;B53</f>
        <v/>
      </c>
      <c r="D53" s="18" t="inlineStr">
        <is>
          <t>AI in Banking | Jonathan Harris</t>
        </is>
      </c>
      <c r="E53" s="18" t="inlineStr">
        <is>
          <t>Canonical ebook route</t>
        </is>
      </c>
      <c r="F53" s="19" t="inlineStr">
        <is>
          <t>https://jonathan-harris.online/ebooks/artificial-intelligence-in-banking-revolutionizing-finance-and-data-security/buy-now</t>
        </is>
      </c>
      <c r="G53" s="19" t="inlineStr">
        <is>
          <t>https://mybook.to/8VjT</t>
        </is>
      </c>
      <c r="H53" s="18" t="n"/>
      <c r="I53" s="18">
        <f>IFERROR(VLOOKUP($F53,'BuyNow Redirects'!$C$2:$J$37,5,FALSE),"")</f>
        <v/>
      </c>
      <c r="J53" s="20">
        <f>IFERROR(VLOOKUP($F53,'BuyNow Redirects'!$C$2:$J$37,6,FALSE),"")</f>
        <v/>
      </c>
      <c r="K53" s="21">
        <f>IFERROR(VLOOKUP($F53,'BuyNow Redirects'!$C$2:$J$37,7,FALSE),"")</f>
        <v/>
      </c>
      <c r="L53" s="22">
        <f>IFERROR(VLOOKUP($F53,'BuyNow Redirects'!$C$2:$J$37,8,FALSE),"")</f>
        <v/>
      </c>
      <c r="M53" s="6" t="n"/>
      <c r="N53" s="6" t="n"/>
      <c r="O53" s="6" t="n"/>
      <c r="P53" s="6" t="n"/>
      <c r="Q53" s="6" t="n"/>
      <c r="R53" s="6" t="n"/>
      <c r="S53" s="6" t="n"/>
      <c r="T53" s="6" t="n"/>
      <c r="U53" s="6" t="n"/>
      <c r="V53" s="6" t="n"/>
      <c r="W53" s="6" t="n"/>
      <c r="X53" s="6" t="n"/>
      <c r="Y53" s="6" t="n"/>
      <c r="Z53" s="6" t="n"/>
    </row>
    <row r="54" ht="21" customHeight="1" s="37">
      <c r="A54" s="8" t="inlineStr">
        <is>
          <t>ebooks/artificial-intelligence-in-construction-building-a-sustainable-future/index.html</t>
        </is>
      </c>
      <c r="B54" s="9" t="inlineStr">
        <is>
          <t>/ebooks/artificial-intelligence-in-construction-building-a-sustainable-future/</t>
        </is>
      </c>
      <c r="C54" s="10">
        <f>$B$1&amp;B54</f>
        <v/>
      </c>
      <c r="D54" s="11" t="inlineStr">
        <is>
          <t>AI in Construction | Jonathan Harris</t>
        </is>
      </c>
      <c r="E54" s="11" t="inlineStr">
        <is>
          <t>Canonical ebook route</t>
        </is>
      </c>
      <c r="F54" s="12" t="inlineStr">
        <is>
          <t>https://jonathan-harris.online/ebooks/artificial-intelligence-in-construction-building-a-sustainable-future/buy-now</t>
        </is>
      </c>
      <c r="G54" s="12" t="inlineStr">
        <is>
          <t>https://mybook.to/v98RD</t>
        </is>
      </c>
      <c r="H54" s="11" t="n"/>
      <c r="I54" s="11">
        <f>IFERROR(VLOOKUP($F54,'BuyNow Redirects'!$C$2:$J$37,5,FALSE),"")</f>
        <v/>
      </c>
      <c r="J54" s="13">
        <f>IFERROR(VLOOKUP($F54,'BuyNow Redirects'!$C$2:$J$37,6,FALSE),"")</f>
        <v/>
      </c>
      <c r="K54" s="14">
        <f>IFERROR(VLOOKUP($F54,'BuyNow Redirects'!$C$2:$J$37,7,FALSE),"")</f>
        <v/>
      </c>
      <c r="L54" s="23">
        <f>IFERROR(VLOOKUP($F54,'BuyNow Redirects'!$C$2:$J$37,8,FALSE),"")</f>
        <v/>
      </c>
      <c r="M54" s="6" t="n"/>
      <c r="N54" s="6" t="n"/>
      <c r="O54" s="6" t="n"/>
      <c r="P54" s="6" t="n"/>
      <c r="Q54" s="6" t="n"/>
      <c r="R54" s="6" t="n"/>
      <c r="S54" s="6" t="n"/>
      <c r="T54" s="6" t="n"/>
      <c r="U54" s="6" t="n"/>
      <c r="V54" s="6" t="n"/>
      <c r="W54" s="6" t="n"/>
      <c r="X54" s="6" t="n"/>
      <c r="Y54" s="6" t="n"/>
      <c r="Z54" s="6" t="n"/>
    </row>
    <row r="55" ht="21" customHeight="1" s="37">
      <c r="A55" s="15" t="inlineStr">
        <is>
          <t>ebooks/artificial-intelligence-in-industry-a-comprehensive-guide/index.html</t>
        </is>
      </c>
      <c r="B55" s="16" t="inlineStr">
        <is>
          <t>/ebooks/artificial-intelligence-in-industry-a-comprehensive-guide/</t>
        </is>
      </c>
      <c r="C55" s="17">
        <f>$B$1&amp;B55</f>
        <v/>
      </c>
      <c r="D55" s="18" t="inlineStr">
        <is>
          <t>AI in Industry | Jonathan Harris</t>
        </is>
      </c>
      <c r="E55" s="18" t="inlineStr">
        <is>
          <t>Canonical ebook route</t>
        </is>
      </c>
      <c r="F55" s="19" t="inlineStr">
        <is>
          <t>https://jonathan-harris.online/ebooks/artificial-intelligence-in-industry-a-comprehensive-guide/buy-now</t>
        </is>
      </c>
      <c r="G55" s="19" t="inlineStr">
        <is>
          <t>https://mybook.to/t2Au28</t>
        </is>
      </c>
      <c r="H55" s="18" t="n"/>
      <c r="I55" s="18">
        <f>IFERROR(VLOOKUP($F55,'BuyNow Redirects'!$C$2:$J$37,5,FALSE),"")</f>
        <v/>
      </c>
      <c r="J55" s="20">
        <f>IFERROR(VLOOKUP($F55,'BuyNow Redirects'!$C$2:$J$37,6,FALSE),"")</f>
        <v/>
      </c>
      <c r="K55" s="21">
        <f>IFERROR(VLOOKUP($F55,'BuyNow Redirects'!$C$2:$J$37,7,FALSE),"")</f>
        <v/>
      </c>
      <c r="L55" s="22">
        <f>IFERROR(VLOOKUP($F55,'BuyNow Redirects'!$C$2:$J$37,8,FALSE),"")</f>
        <v/>
      </c>
      <c r="M55" s="6" t="n"/>
      <c r="N55" s="6" t="n"/>
      <c r="O55" s="6" t="n"/>
      <c r="P55" s="6" t="n"/>
      <c r="Q55" s="6" t="n"/>
      <c r="R55" s="6" t="n"/>
      <c r="S55" s="6" t="n"/>
      <c r="T55" s="6" t="n"/>
      <c r="U55" s="6" t="n"/>
      <c r="V55" s="6" t="n"/>
      <c r="W55" s="6" t="n"/>
      <c r="X55" s="6" t="n"/>
      <c r="Y55" s="6" t="n"/>
      <c r="Z55" s="6" t="n"/>
    </row>
    <row r="56" ht="21" customHeight="1" s="37">
      <c r="A56" s="8" t="inlineStr">
        <is>
          <t>ebooks/artificial-intelligence-in-logistics-optimizing-efficiency-and-sustainability/index.html</t>
        </is>
      </c>
      <c r="B56" s="9" t="inlineStr">
        <is>
          <t>/ebooks/artificial-intelligence-in-logistics-optimizing-efficiency-and-sustainability/</t>
        </is>
      </c>
      <c r="C56" s="10">
        <f>$B$1&amp;B56</f>
        <v/>
      </c>
      <c r="D56" s="11" t="inlineStr">
        <is>
          <t>AI in Logistics | Jonathan Harris</t>
        </is>
      </c>
      <c r="E56" s="11" t="inlineStr">
        <is>
          <t>Canonical ebook route</t>
        </is>
      </c>
      <c r="F56" s="12" t="inlineStr">
        <is>
          <t>https://jonathan-harris.online/ebooks/artificial-intelligence-in-logistics-optimizing-efficiency-and-sustainability/buy-now</t>
        </is>
      </c>
      <c r="G56" s="12" t="inlineStr">
        <is>
          <t>https://mybook.to/zSKnSW</t>
        </is>
      </c>
      <c r="H56" s="11" t="n"/>
      <c r="I56" s="11">
        <f>IFERROR(VLOOKUP($F56,'BuyNow Redirects'!$C$2:$J$37,5,FALSE),"")</f>
        <v/>
      </c>
      <c r="J56" s="13">
        <f>IFERROR(VLOOKUP($F56,'BuyNow Redirects'!$C$2:$J$37,6,FALSE),"")</f>
        <v/>
      </c>
      <c r="K56" s="14">
        <f>IFERROR(VLOOKUP($F56,'BuyNow Redirects'!$C$2:$J$37,7,FALSE),"")</f>
        <v/>
      </c>
      <c r="L56" s="23">
        <f>IFERROR(VLOOKUP($F56,'BuyNow Redirects'!$C$2:$J$37,8,FALSE),"")</f>
        <v/>
      </c>
      <c r="M56" s="6" t="n"/>
      <c r="N56" s="6" t="n"/>
      <c r="O56" s="6" t="n"/>
      <c r="P56" s="6" t="n"/>
      <c r="Q56" s="6" t="n"/>
      <c r="R56" s="6" t="n"/>
      <c r="S56" s="6" t="n"/>
      <c r="T56" s="6" t="n"/>
      <c r="U56" s="6" t="n"/>
      <c r="V56" s="6" t="n"/>
      <c r="W56" s="6" t="n"/>
      <c r="X56" s="6" t="n"/>
      <c r="Y56" s="6" t="n"/>
      <c r="Z56" s="6" t="n"/>
    </row>
    <row r="57" ht="21" customHeight="1" s="37">
      <c r="A57" s="15" t="inlineStr">
        <is>
          <t>ebooks/artificial-intelligence-in-pharmaceuticals-revolutionizing-healthcare/index.html</t>
        </is>
      </c>
      <c r="B57" s="16" t="inlineStr">
        <is>
          <t>/ebooks/artificial-intelligence-in-pharmaceuticals-revolutionizing-healthcare/</t>
        </is>
      </c>
      <c r="C57" s="17">
        <f>$B$1&amp;B57</f>
        <v/>
      </c>
      <c r="D57" s="18" t="inlineStr">
        <is>
          <t>AI in Pharmaceuticals | Jonathan Harris</t>
        </is>
      </c>
      <c r="E57" s="18" t="inlineStr">
        <is>
          <t>Canonical ebook route</t>
        </is>
      </c>
      <c r="F57" s="19" t="inlineStr">
        <is>
          <t>https://jonathan-harris.online/ebooks/artificial-intelligence-in-pharmaceuticals-revolutionizing-healthcare/buy-now</t>
        </is>
      </c>
      <c r="G57" s="19" t="inlineStr">
        <is>
          <t>https://mybook.to/3cA8</t>
        </is>
      </c>
      <c r="H57" s="18" t="n"/>
      <c r="I57" s="18">
        <f>IFERROR(VLOOKUP($F57,'BuyNow Redirects'!$C$2:$J$37,5,FALSE),"")</f>
        <v/>
      </c>
      <c r="J57" s="20">
        <f>IFERROR(VLOOKUP($F57,'BuyNow Redirects'!$C$2:$J$37,6,FALSE),"")</f>
        <v/>
      </c>
      <c r="K57" s="21">
        <f>IFERROR(VLOOKUP($F57,'BuyNow Redirects'!$C$2:$J$37,7,FALSE),"")</f>
        <v/>
      </c>
      <c r="L57" s="22">
        <f>IFERROR(VLOOKUP($F57,'BuyNow Redirects'!$C$2:$J$37,8,FALSE),"")</f>
        <v/>
      </c>
      <c r="M57" s="6" t="n"/>
      <c r="N57" s="6" t="n"/>
      <c r="O57" s="6" t="n"/>
      <c r="P57" s="6" t="n"/>
      <c r="Q57" s="6" t="n"/>
      <c r="R57" s="6" t="n"/>
      <c r="S57" s="6" t="n"/>
      <c r="T57" s="6" t="n"/>
      <c r="U57" s="6" t="n"/>
      <c r="V57" s="6" t="n"/>
      <c r="W57" s="6" t="n"/>
      <c r="X57" s="6" t="n"/>
      <c r="Y57" s="6" t="n"/>
      <c r="Z57" s="6" t="n"/>
    </row>
    <row r="58" ht="21" customHeight="1" s="37">
      <c r="A58" s="8" t="inlineStr">
        <is>
          <t>ebooks/artificial-intelligence-in-sports-revolutionizing-performance-and-fan-engagement/index.html</t>
        </is>
      </c>
      <c r="B58" s="9" t="inlineStr">
        <is>
          <t>/ebooks/artificial-intelligence-in-sports-revolutionizing-performance-and-fan-engagement/</t>
        </is>
      </c>
      <c r="C58" s="10">
        <f>$B$1&amp;B58</f>
        <v/>
      </c>
      <c r="D58" s="11" t="inlineStr">
        <is>
          <t>AI in Sports | Jonathan Harris</t>
        </is>
      </c>
      <c r="E58" s="11" t="inlineStr">
        <is>
          <t>Canonical ebook route</t>
        </is>
      </c>
      <c r="F58" s="12" t="inlineStr">
        <is>
          <t>https://jonathan-harris.online/ebooks/artificial-intelligence-in-sports-revolutionizing-performance-and-fan-engagement/buy-now</t>
        </is>
      </c>
      <c r="G58" s="12" t="inlineStr">
        <is>
          <t>https://mybook.to/73M1</t>
        </is>
      </c>
      <c r="H58" s="11" t="n"/>
      <c r="I58" s="11">
        <f>IFERROR(VLOOKUP($F58,'BuyNow Redirects'!$C$2:$J$37,5,FALSE),"")</f>
        <v/>
      </c>
      <c r="J58" s="13">
        <f>IFERROR(VLOOKUP($F58,'BuyNow Redirects'!$C$2:$J$37,6,FALSE),"")</f>
        <v/>
      </c>
      <c r="K58" s="14">
        <f>IFERROR(VLOOKUP($F58,'BuyNow Redirects'!$C$2:$J$37,7,FALSE),"")</f>
        <v/>
      </c>
      <c r="L58" s="23">
        <f>IFERROR(VLOOKUP($F58,'BuyNow Redirects'!$C$2:$J$37,8,FALSE),"")</f>
        <v/>
      </c>
      <c r="M58" s="6" t="n"/>
      <c r="N58" s="6" t="n"/>
      <c r="O58" s="6" t="n"/>
      <c r="P58" s="6" t="n"/>
      <c r="Q58" s="6" t="n"/>
      <c r="R58" s="6" t="n"/>
      <c r="S58" s="6" t="n"/>
      <c r="T58" s="6" t="n"/>
      <c r="U58" s="6" t="n"/>
      <c r="V58" s="6" t="n"/>
      <c r="W58" s="6" t="n"/>
      <c r="X58" s="6" t="n"/>
      <c r="Y58" s="6" t="n"/>
      <c r="Z58" s="6" t="n"/>
    </row>
    <row r="59" ht="21" customHeight="1" s="37">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18" t="inlineStr">
        <is>
          <t>AI in Veterinary Medicine | Jonathan Harris</t>
        </is>
      </c>
      <c r="E59" s="18" t="inlineStr">
        <is>
          <t>Canonical ebook route</t>
        </is>
      </c>
      <c r="F59" s="19" t="inlineStr">
        <is>
          <t>https://jonathan-harris.online/ebooks/artificial-intelligence-in-veterinary-medicine-transforming-animal-healthcare-through-innovation/buy-now</t>
        </is>
      </c>
      <c r="G59" s="19" t="inlineStr">
        <is>
          <t>https://mybook.to/SOjUE</t>
        </is>
      </c>
      <c r="H59" s="18" t="n"/>
      <c r="I59" s="18">
        <f>IFERROR(VLOOKUP($F59,'BuyNow Redirects'!$C$2:$J$37,5,FALSE),"")</f>
        <v/>
      </c>
      <c r="J59" s="20">
        <f>IFERROR(VLOOKUP($F59,'BuyNow Redirects'!$C$2:$J$37,6,FALSE),"")</f>
        <v/>
      </c>
      <c r="K59" s="21">
        <f>IFERROR(VLOOKUP($F59,'BuyNow Redirects'!$C$2:$J$37,7,FALSE),"")</f>
        <v/>
      </c>
      <c r="L59" s="22">
        <f>IFERROR(VLOOKUP($F59,'BuyNow Redirects'!$C$2:$J$37,8,FALSE),"")</f>
        <v/>
      </c>
      <c r="M59" s="6" t="n"/>
      <c r="N59" s="6" t="n"/>
      <c r="O59" s="6" t="n"/>
      <c r="P59" s="6" t="n"/>
      <c r="Q59" s="6" t="n"/>
      <c r="R59" s="6" t="n"/>
      <c r="S59" s="6" t="n"/>
      <c r="T59" s="6" t="n"/>
      <c r="U59" s="6" t="n"/>
      <c r="V59" s="6" t="n"/>
      <c r="W59" s="6" t="n"/>
      <c r="X59" s="6" t="n"/>
      <c r="Y59" s="6" t="n"/>
      <c r="Z59" s="6" t="n"/>
    </row>
    <row r="60" ht="21" customHeight="1" s="37">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11" t="inlineStr">
        <is>
          <t>AI-Powered Retail | Jonathan Harris</t>
        </is>
      </c>
      <c r="E60" s="11" t="inlineStr">
        <is>
          <t>Canonical ebook route</t>
        </is>
      </c>
      <c r="F60" s="12" t="inlineStr">
        <is>
          <t>https://jonathan-harris.online/ebooks/artificial-intelligence-powered-retail-revolutionizing-customer-experience-for-a-sustainable-future/buy-now</t>
        </is>
      </c>
      <c r="G60" s="12" t="inlineStr">
        <is>
          <t>https://mybook.to/POYR</t>
        </is>
      </c>
      <c r="H60" s="11" t="n"/>
      <c r="I60" s="11">
        <f>IFERROR(VLOOKUP($F60,'BuyNow Redirects'!$C$2:$J$37,5,FALSE),"")</f>
        <v/>
      </c>
      <c r="J60" s="13">
        <f>IFERROR(VLOOKUP($F60,'BuyNow Redirects'!$C$2:$J$37,6,FALSE),"")</f>
        <v/>
      </c>
      <c r="K60" s="14">
        <f>IFERROR(VLOOKUP($F60,'BuyNow Redirects'!$C$2:$J$37,7,FALSE),"")</f>
        <v/>
      </c>
      <c r="L60" s="23">
        <f>IFERROR(VLOOKUP($F60,'BuyNow Redirects'!$C$2:$J$37,8,FALSE),"")</f>
        <v/>
      </c>
      <c r="M60" s="6" t="n"/>
      <c r="N60" s="6" t="n"/>
      <c r="O60" s="6" t="n"/>
      <c r="P60" s="6" t="n"/>
      <c r="Q60" s="6" t="n"/>
      <c r="R60" s="6" t="n"/>
      <c r="S60" s="6" t="n"/>
      <c r="T60" s="6" t="n"/>
      <c r="U60" s="6" t="n"/>
      <c r="V60" s="6" t="n"/>
      <c r="W60" s="6" t="n"/>
      <c r="X60" s="6" t="n"/>
      <c r="Y60" s="6" t="n"/>
      <c r="Z60" s="6" t="n"/>
    </row>
    <row r="61" ht="21" customHeight="1" s="37">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18" t="inlineStr">
        <is>
          <t>AI Revolution in Manufacturing | Jonathan Harris</t>
        </is>
      </c>
      <c r="E61" s="18" t="inlineStr">
        <is>
          <t>Canonical ebook route</t>
        </is>
      </c>
      <c r="F61" s="19" t="inlineStr">
        <is>
          <t>https://jonathan-harris.online/ebooks/artificial-intelligence-revolution-in-manufacturing-modernizing-operations-maintenance-and-service-delivery/buy-now</t>
        </is>
      </c>
      <c r="G61" s="19" t="inlineStr">
        <is>
          <t>https://mybook.to/SOAEb</t>
        </is>
      </c>
      <c r="H61" s="18" t="n"/>
      <c r="I61" s="18">
        <f>IFERROR(VLOOKUP($F61,'BuyNow Redirects'!$C$2:$J$37,5,FALSE),"")</f>
        <v/>
      </c>
      <c r="J61" s="20">
        <f>IFERROR(VLOOKUP($F61,'BuyNow Redirects'!$C$2:$J$37,6,FALSE),"")</f>
        <v/>
      </c>
      <c r="K61" s="21">
        <f>IFERROR(VLOOKUP($F61,'BuyNow Redirects'!$C$2:$J$37,7,FALSE),"")</f>
        <v/>
      </c>
      <c r="L61" s="22">
        <f>IFERROR(VLOOKUP($F61,'BuyNow Redirects'!$C$2:$J$37,8,FALSE),"")</f>
        <v/>
      </c>
      <c r="M61" s="6" t="n"/>
      <c r="N61" s="6" t="n"/>
      <c r="O61" s="6" t="n"/>
      <c r="P61" s="6" t="n"/>
      <c r="Q61" s="6" t="n"/>
      <c r="R61" s="6" t="n"/>
      <c r="S61" s="6" t="n"/>
      <c r="T61" s="6" t="n"/>
      <c r="U61" s="6" t="n"/>
      <c r="V61" s="6" t="n"/>
      <c r="W61" s="6" t="n"/>
      <c r="X61" s="6" t="n"/>
      <c r="Y61" s="6" t="n"/>
      <c r="Z61" s="6" t="n"/>
    </row>
    <row r="62" ht="21" customHeight="1" s="37">
      <c r="A62" s="8" t="inlineStr">
        <is>
          <t>ebooks/beyond-earth-how-ai-is-transforming-space-exploration/index.html</t>
        </is>
      </c>
      <c r="B62" s="9" t="inlineStr">
        <is>
          <t>/ebooks/beyond-earth-how-ai-is-transforming-space-exploration/</t>
        </is>
      </c>
      <c r="C62" s="10">
        <f>$B$1&amp;B62</f>
        <v/>
      </c>
      <c r="D62" s="11" t="inlineStr">
        <is>
          <t>Beyond Earth: AI in Space | Jonathan Harris</t>
        </is>
      </c>
      <c r="E62" s="11" t="inlineStr">
        <is>
          <t>Canonical ebook route</t>
        </is>
      </c>
      <c r="F62" s="12" t="inlineStr">
        <is>
          <t>https://jonathan-harris.online/ebooks/beyond-earth-how-ai-is-transforming-space-exploration/buy-now</t>
        </is>
      </c>
      <c r="G62" s="12" t="inlineStr">
        <is>
          <t>https://mybook.to/iY9m</t>
        </is>
      </c>
      <c r="H62" s="11" t="n"/>
      <c r="I62" s="11">
        <f>IFERROR(VLOOKUP($F62,'BuyNow Redirects'!$C$2:$J$37,5,FALSE),"")</f>
        <v/>
      </c>
      <c r="J62" s="13">
        <f>IFERROR(VLOOKUP($F62,'BuyNow Redirects'!$C$2:$J$37,6,FALSE),"")</f>
        <v/>
      </c>
      <c r="K62" s="14">
        <f>IFERROR(VLOOKUP($F62,'BuyNow Redirects'!$C$2:$J$37,7,FALSE),"")</f>
        <v/>
      </c>
      <c r="L62" s="23">
        <f>IFERROR(VLOOKUP($F62,'BuyNow Redirects'!$C$2:$J$37,8,FALSE),"")</f>
        <v/>
      </c>
      <c r="M62" s="6" t="n"/>
      <c r="N62" s="6" t="n"/>
      <c r="O62" s="6" t="n"/>
      <c r="P62" s="6" t="n"/>
      <c r="Q62" s="6" t="n"/>
      <c r="R62" s="6" t="n"/>
      <c r="S62" s="6" t="n"/>
      <c r="T62" s="6" t="n"/>
      <c r="U62" s="6" t="n"/>
      <c r="V62" s="6" t="n"/>
      <c r="W62" s="6" t="n"/>
      <c r="X62" s="6" t="n"/>
      <c r="Y62" s="6" t="n"/>
      <c r="Z62" s="6" t="n"/>
    </row>
    <row r="63" ht="21" customHeight="1" s="37">
      <c r="A63" s="15" t="inlineStr">
        <is>
          <t>ebooks/climate-intelligence-harnessing-ai-for-a-greener-future/index.html</t>
        </is>
      </c>
      <c r="B63" s="16" t="inlineStr">
        <is>
          <t>/ebooks/climate-intelligence-harnessing-ai-for-a-greener-future/</t>
        </is>
      </c>
      <c r="C63" s="17">
        <f>$B$1&amp;B63</f>
        <v/>
      </c>
      <c r="D63" s="18" t="inlineStr">
        <is>
          <t>Climate Intelligence | Jonathan Harris</t>
        </is>
      </c>
      <c r="E63" s="18" t="inlineStr">
        <is>
          <t>Canonical ebook route</t>
        </is>
      </c>
      <c r="F63" s="19" t="inlineStr">
        <is>
          <t>https://jonathan-harris.online/ebooks/climate-intelligence-harnessing-ai-for-a-greener-future/buy-now</t>
        </is>
      </c>
      <c r="G63" s="19" t="inlineStr">
        <is>
          <t>https://mybook.to/aKj8Fh</t>
        </is>
      </c>
      <c r="H63" s="18" t="n"/>
      <c r="I63" s="18">
        <f>IFERROR(VLOOKUP($F63,'BuyNow Redirects'!$C$2:$J$37,5,FALSE),"")</f>
        <v/>
      </c>
      <c r="J63" s="20">
        <f>IFERROR(VLOOKUP($F63,'BuyNow Redirects'!$C$2:$J$37,6,FALSE),"")</f>
        <v/>
      </c>
      <c r="K63" s="21">
        <f>IFERROR(VLOOKUP($F63,'BuyNow Redirects'!$C$2:$J$37,7,FALSE),"")</f>
        <v/>
      </c>
      <c r="L63" s="22">
        <f>IFERROR(VLOOKUP($F63,'BuyNow Redirects'!$C$2:$J$37,8,FALSE),"")</f>
        <v/>
      </c>
      <c r="M63" s="6" t="n"/>
      <c r="N63" s="6" t="n"/>
      <c r="O63" s="6" t="n"/>
      <c r="P63" s="6" t="n"/>
      <c r="Q63" s="6" t="n"/>
      <c r="R63" s="6" t="n"/>
      <c r="S63" s="6" t="n"/>
      <c r="T63" s="6" t="n"/>
      <c r="U63" s="6" t="n"/>
      <c r="V63" s="6" t="n"/>
      <c r="W63" s="6" t="n"/>
      <c r="X63" s="6" t="n"/>
      <c r="Y63" s="6" t="n"/>
      <c r="Z63" s="6" t="n"/>
    </row>
    <row r="64" ht="21" customHeight="1" s="37">
      <c r="A64" s="8" t="inlineStr">
        <is>
          <t>ebooks/digital-defense-the-role-of-ai-in-modern-warfare/index.html</t>
        </is>
      </c>
      <c r="B64" s="9" t="inlineStr">
        <is>
          <t>/ebooks/digital-defense-the-role-of-ai-in-modern-warfare/</t>
        </is>
      </c>
      <c r="C64" s="10">
        <f>$B$1&amp;B64</f>
        <v/>
      </c>
      <c r="D64" s="11" t="inlineStr">
        <is>
          <t>Digital Defense and AI | Jonathan Harris</t>
        </is>
      </c>
      <c r="E64" s="11" t="inlineStr">
        <is>
          <t>Canonical ebook route</t>
        </is>
      </c>
      <c r="F64" s="12" t="inlineStr">
        <is>
          <t>https://jonathan-harris.online/ebooks/digital-defense-the-role-of-ai-in-modern-warfare/buy-now</t>
        </is>
      </c>
      <c r="G64" s="12" t="inlineStr">
        <is>
          <t>https://mybook.to/digitaldefense</t>
        </is>
      </c>
      <c r="H64" s="11" t="n"/>
      <c r="I64" s="11">
        <f>IFERROR(VLOOKUP($F64,'BuyNow Redirects'!$C$2:$J$37,5,FALSE),"")</f>
        <v/>
      </c>
      <c r="J64" s="13">
        <f>IFERROR(VLOOKUP($F64,'BuyNow Redirects'!$C$2:$J$37,6,FALSE),"")</f>
        <v/>
      </c>
      <c r="K64" s="14">
        <f>IFERROR(VLOOKUP($F64,'BuyNow Redirects'!$C$2:$J$37,7,FALSE),"")</f>
        <v/>
      </c>
      <c r="L64" s="23">
        <f>IFERROR(VLOOKUP($F64,'BuyNow Redirects'!$C$2:$J$37,8,FALSE),"")</f>
        <v/>
      </c>
      <c r="M64" s="6" t="n"/>
      <c r="N64" s="6" t="n"/>
      <c r="O64" s="6" t="n"/>
      <c r="P64" s="6" t="n"/>
      <c r="Q64" s="6" t="n"/>
      <c r="R64" s="6" t="n"/>
      <c r="S64" s="6" t="n"/>
      <c r="T64" s="6" t="n"/>
      <c r="U64" s="6" t="n"/>
      <c r="V64" s="6" t="n"/>
      <c r="W64" s="6" t="n"/>
      <c r="X64" s="6" t="n"/>
      <c r="Y64" s="6" t="n"/>
      <c r="Z64" s="6" t="n"/>
    </row>
    <row r="65" ht="21" customHeight="1" s="37">
      <c r="A65" s="15" t="inlineStr">
        <is>
          <t>ebooks/digital-diagnosis-how-ai-is-revolutionizing-healthcare/index.html</t>
        </is>
      </c>
      <c r="B65" s="16" t="inlineStr">
        <is>
          <t>/ebooks/digital-diagnosis-how-ai-is-revolutionizing-healthcare/</t>
        </is>
      </c>
      <c r="C65" s="17">
        <f>$B$1&amp;B65</f>
        <v/>
      </c>
      <c r="D65" s="18" t="inlineStr">
        <is>
          <t>Digital Diagnosis | Jonathan Harris</t>
        </is>
      </c>
      <c r="E65" s="18" t="inlineStr">
        <is>
          <t>Canonical ebook route</t>
        </is>
      </c>
      <c r="F65" s="19" t="inlineStr">
        <is>
          <t>https://jonathan-harris.online/ebooks/digital-diagnosis-how-ai-is-revolutionizing-healthcare/buy-now</t>
        </is>
      </c>
      <c r="G65" s="19" t="inlineStr">
        <is>
          <t>https://mybook.to/hrnKOD</t>
        </is>
      </c>
      <c r="H65" s="18" t="n"/>
      <c r="I65" s="18">
        <f>IFERROR(VLOOKUP($F65,'BuyNow Redirects'!$C$2:$J$37,5,FALSE),"")</f>
        <v/>
      </c>
      <c r="J65" s="20">
        <f>IFERROR(VLOOKUP($F65,'BuyNow Redirects'!$C$2:$J$37,6,FALSE),"")</f>
        <v/>
      </c>
      <c r="K65" s="21">
        <f>IFERROR(VLOOKUP($F65,'BuyNow Redirects'!$C$2:$J$37,7,FALSE),"")</f>
        <v/>
      </c>
      <c r="L65" s="22">
        <f>IFERROR(VLOOKUP($F65,'BuyNow Redirects'!$C$2:$J$37,8,FALSE),"")</f>
        <v/>
      </c>
      <c r="M65" s="6" t="n"/>
      <c r="N65" s="6" t="n"/>
      <c r="O65" s="6" t="n"/>
      <c r="P65" s="6" t="n"/>
      <c r="Q65" s="6" t="n"/>
      <c r="R65" s="6" t="n"/>
      <c r="S65" s="6" t="n"/>
      <c r="T65" s="6" t="n"/>
      <c r="U65" s="6" t="n"/>
      <c r="V65" s="6" t="n"/>
      <c r="W65" s="6" t="n"/>
      <c r="X65" s="6" t="n"/>
      <c r="Y65" s="6" t="n"/>
      <c r="Z65" s="6" t="n"/>
    </row>
    <row r="66" ht="21" customHeight="1" s="37">
      <c r="A66" s="8" t="inlineStr">
        <is>
          <t>ebooks/from-reporters-to-robots-how-ai-is-reshaping-journalism/index.html</t>
        </is>
      </c>
      <c r="B66" s="9" t="inlineStr">
        <is>
          <t>/ebooks/from-reporters-to-robots-how-ai-is-reshaping-journalism/</t>
        </is>
      </c>
      <c r="C66" s="10">
        <f>$B$1&amp;B66</f>
        <v/>
      </c>
      <c r="D66" s="11" t="inlineStr">
        <is>
          <t>From Reporters to Robots | Jonathan Harris</t>
        </is>
      </c>
      <c r="E66" s="11" t="inlineStr">
        <is>
          <t>Canonical ebook route</t>
        </is>
      </c>
      <c r="F66" s="12" t="inlineStr">
        <is>
          <t>https://jonathan-harris.online/ebooks/from-reporters-to-robots-how-ai-is-reshaping-journalism/buy-now</t>
        </is>
      </c>
      <c r="G66" s="12" t="inlineStr">
        <is>
          <t>https://mybook.to/DWfAK</t>
        </is>
      </c>
      <c r="H66" s="11" t="n"/>
      <c r="I66" s="11">
        <f>IFERROR(VLOOKUP($F66,'BuyNow Redirects'!$C$2:$J$37,5,FALSE),"")</f>
        <v/>
      </c>
      <c r="J66" s="13">
        <f>IFERROR(VLOOKUP($F66,'BuyNow Redirects'!$C$2:$J$37,6,FALSE),"")</f>
        <v/>
      </c>
      <c r="K66" s="14">
        <f>IFERROR(VLOOKUP($F66,'BuyNow Redirects'!$C$2:$J$37,7,FALSE),"")</f>
        <v/>
      </c>
      <c r="L66" s="23">
        <f>IFERROR(VLOOKUP($F66,'BuyNow Redirects'!$C$2:$J$37,8,FALSE),"")</f>
        <v/>
      </c>
      <c r="M66" s="6" t="n"/>
      <c r="N66" s="6" t="n"/>
      <c r="O66" s="6" t="n"/>
      <c r="P66" s="6" t="n"/>
      <c r="Q66" s="6" t="n"/>
      <c r="R66" s="6" t="n"/>
      <c r="S66" s="6" t="n"/>
      <c r="T66" s="6" t="n"/>
      <c r="U66" s="6" t="n"/>
      <c r="V66" s="6" t="n"/>
      <c r="W66" s="6" t="n"/>
      <c r="X66" s="6" t="n"/>
      <c r="Y66" s="6" t="n"/>
      <c r="Z66" s="6" t="n"/>
    </row>
    <row r="67" ht="21" customHeight="1" s="37">
      <c r="A67" s="15" t="inlineStr">
        <is>
          <t>ebooks/game-ai-unleashed-from-finite-state-machines-to-machine-learning/index.html</t>
        </is>
      </c>
      <c r="B67" s="16" t="inlineStr">
        <is>
          <t>/ebooks/game-ai-unleashed-from-finite-state-machines-to-machine-learning/</t>
        </is>
      </c>
      <c r="C67" s="17">
        <f>$B$1&amp;B67</f>
        <v/>
      </c>
      <c r="D67" s="18" t="inlineStr">
        <is>
          <t>Game AI Unleashed | Jonathan Harris</t>
        </is>
      </c>
      <c r="E67" s="18" t="inlineStr">
        <is>
          <t>Canonical ebook route</t>
        </is>
      </c>
      <c r="F67" s="19" t="inlineStr">
        <is>
          <t>https://jonathan-harris.online/ebooks/game-ai-unleashed-from-finite-state-machines-to-machine-learning/buy-now</t>
        </is>
      </c>
      <c r="G67" s="19" t="inlineStr">
        <is>
          <t>https://mybook.to/e7GozY6</t>
        </is>
      </c>
      <c r="H67" s="18" t="n"/>
      <c r="I67" s="18">
        <f>IFERROR(VLOOKUP($F67,'BuyNow Redirects'!$C$2:$J$37,5,FALSE),"")</f>
        <v/>
      </c>
      <c r="J67" s="20">
        <f>IFERROR(VLOOKUP($F67,'BuyNow Redirects'!$C$2:$J$37,6,FALSE),"")</f>
        <v/>
      </c>
      <c r="K67" s="21">
        <f>IFERROR(VLOOKUP($F67,'BuyNow Redirects'!$C$2:$J$37,7,FALSE),"")</f>
        <v/>
      </c>
      <c r="L67" s="22">
        <f>IFERROR(VLOOKUP($F67,'BuyNow Redirects'!$C$2:$J$37,8,FALSE),"")</f>
        <v/>
      </c>
      <c r="M67" s="6" t="n"/>
      <c r="N67" s="6" t="n"/>
      <c r="O67" s="6" t="n"/>
      <c r="P67" s="6" t="n"/>
      <c r="Q67" s="6" t="n"/>
      <c r="R67" s="6" t="n"/>
      <c r="S67" s="6" t="n"/>
      <c r="T67" s="6" t="n"/>
      <c r="U67" s="6" t="n"/>
      <c r="V67" s="6" t="n"/>
      <c r="W67" s="6" t="n"/>
      <c r="X67" s="6" t="n"/>
      <c r="Y67" s="6" t="n"/>
      <c r="Z67" s="6" t="n"/>
    </row>
    <row r="68" ht="21" customHeight="1" s="37">
      <c r="A68" s="8" t="inlineStr">
        <is>
          <t>ebooks/lights-camera-algorithm-ai-s-role-in-modern-filmmaking/index.html</t>
        </is>
      </c>
      <c r="B68" s="9" t="inlineStr">
        <is>
          <t>/ebooks/lights-camera-algorithm-ai-s-role-in-modern-filmmaking/</t>
        </is>
      </c>
      <c r="C68" s="10">
        <f>$B$1&amp;B68</f>
        <v/>
      </c>
      <c r="D68" s="11" t="inlineStr">
        <is>
          <t>Lights, Camera, Algorithm | Jonathan Harris</t>
        </is>
      </c>
      <c r="E68" s="11" t="inlineStr">
        <is>
          <t>Canonical ebook route</t>
        </is>
      </c>
      <c r="F68" s="12" t="inlineStr">
        <is>
          <t>https://jonathan-harris.online/ebooks/lights-camera-algorithm-ai-s-role-in-modern-filmmaking/buy-now</t>
        </is>
      </c>
      <c r="G68" s="12" t="inlineStr">
        <is>
          <t>https://mybook.to/EcO2DI</t>
        </is>
      </c>
      <c r="H68" s="11" t="n"/>
      <c r="I68" s="11">
        <f>IFERROR(VLOOKUP($F68,'BuyNow Redirects'!$C$2:$J$37,5,FALSE),"")</f>
        <v/>
      </c>
      <c r="J68" s="13">
        <f>IFERROR(VLOOKUP($F68,'BuyNow Redirects'!$C$2:$J$37,6,FALSE),"")</f>
        <v/>
      </c>
      <c r="K68" s="14">
        <f>IFERROR(VLOOKUP($F68,'BuyNow Redirects'!$C$2:$J$37,7,FALSE),"")</f>
        <v/>
      </c>
      <c r="L68" s="23">
        <f>IFERROR(VLOOKUP($F68,'BuyNow Redirects'!$C$2:$J$37,8,FALSE),"")</f>
        <v/>
      </c>
      <c r="M68" s="6" t="n"/>
      <c r="N68" s="6" t="n"/>
      <c r="O68" s="6" t="n"/>
      <c r="P68" s="6" t="n"/>
      <c r="Q68" s="6" t="n"/>
      <c r="R68" s="6" t="n"/>
      <c r="S68" s="6" t="n"/>
      <c r="T68" s="6" t="n"/>
      <c r="U68" s="6" t="n"/>
      <c r="V68" s="6" t="n"/>
      <c r="W68" s="6" t="n"/>
      <c r="X68" s="6" t="n"/>
      <c r="Y68" s="6" t="n"/>
      <c r="Z68" s="6" t="n"/>
    </row>
    <row r="69" ht="21" customHeight="1" s="37">
      <c r="A69" s="15" t="inlineStr">
        <is>
          <t>ebooks/smart-buildings-ai-powered-efficiency-and-sustainability/index.html</t>
        </is>
      </c>
      <c r="B69" s="16" t="inlineStr">
        <is>
          <t>/ebooks/smart-buildings-ai-powered-efficiency-and-sustainability/</t>
        </is>
      </c>
      <c r="C69" s="17">
        <f>$B$1&amp;B69</f>
        <v/>
      </c>
      <c r="D69" s="18" t="inlineStr">
        <is>
          <t>Smart Buildings and AI | Jonathan Harris</t>
        </is>
      </c>
      <c r="E69" s="18" t="inlineStr">
        <is>
          <t>Canonical ebook route</t>
        </is>
      </c>
      <c r="F69" s="19" t="inlineStr">
        <is>
          <t>https://jonathan-harris.online/ebooks/smart-buildings-ai-powered-efficiency-and-sustainability/buy-now</t>
        </is>
      </c>
      <c r="G69" s="19" t="inlineStr">
        <is>
          <t>https://mybook.to/QEcdy</t>
        </is>
      </c>
      <c r="H69" s="18" t="n"/>
      <c r="I69" s="18">
        <f>IFERROR(VLOOKUP($F69,'BuyNow Redirects'!$C$2:$J$37,5,FALSE),"")</f>
        <v/>
      </c>
      <c r="J69" s="20">
        <f>IFERROR(VLOOKUP($F69,'BuyNow Redirects'!$C$2:$J$37,6,FALSE),"")</f>
        <v/>
      </c>
      <c r="K69" s="21">
        <f>IFERROR(VLOOKUP($F69,'BuyNow Redirects'!$C$2:$J$37,7,FALSE),"")</f>
        <v/>
      </c>
      <c r="L69" s="22">
        <f>IFERROR(VLOOKUP($F69,'BuyNow Redirects'!$C$2:$J$37,8,FALSE),"")</f>
        <v/>
      </c>
      <c r="M69" s="6" t="n"/>
      <c r="N69" s="6" t="n"/>
      <c r="O69" s="6" t="n"/>
      <c r="P69" s="6" t="n"/>
      <c r="Q69" s="6" t="n"/>
      <c r="R69" s="6" t="n"/>
      <c r="S69" s="6" t="n"/>
      <c r="T69" s="6" t="n"/>
      <c r="U69" s="6" t="n"/>
      <c r="V69" s="6" t="n"/>
      <c r="W69" s="6" t="n"/>
      <c r="X69" s="6" t="n"/>
      <c r="Y69" s="6" t="n"/>
      <c r="Z69" s="6" t="n"/>
    </row>
    <row r="70" ht="21" customHeight="1" s="37">
      <c r="A70" s="8" t="inlineStr">
        <is>
          <t>ebooks/the-ai-behind-your-feed-personalization-moderation-and-the-future-of-social-media/index.html</t>
        </is>
      </c>
      <c r="B70" s="9" t="inlineStr">
        <is>
          <t>/ebooks/the-ai-behind-your-feed-personalization-moderation-and-the-future-of-social-media/</t>
        </is>
      </c>
      <c r="C70" s="10">
        <f>$B$1&amp;B70</f>
        <v/>
      </c>
      <c r="D70" s="11" t="inlineStr">
        <is>
          <t>The AI Behind Your Feed | Jonathan Harris</t>
        </is>
      </c>
      <c r="E70" s="11" t="inlineStr">
        <is>
          <t>Canonical ebook route</t>
        </is>
      </c>
      <c r="F70" s="12" t="inlineStr">
        <is>
          <t>https://jonathan-harris.online/ebooks/the-ai-behind-your-feed-personalization-moderation-and-the-future-of-social-media/buy-now</t>
        </is>
      </c>
      <c r="G70" s="12" t="inlineStr">
        <is>
          <t>https://mybook.to/rNRr</t>
        </is>
      </c>
      <c r="H70" s="11" t="n"/>
      <c r="I70" s="11">
        <f>IFERROR(VLOOKUP($F70,'BuyNow Redirects'!$C$2:$J$37,5,FALSE),"")</f>
        <v/>
      </c>
      <c r="J70" s="13">
        <f>IFERROR(VLOOKUP($F70,'BuyNow Redirects'!$C$2:$J$37,6,FALSE),"")</f>
        <v/>
      </c>
      <c r="K70" s="14">
        <f>IFERROR(VLOOKUP($F70,'BuyNow Redirects'!$C$2:$J$37,7,FALSE),"")</f>
        <v/>
      </c>
      <c r="L70" s="23">
        <f>IFERROR(VLOOKUP($F70,'BuyNow Redirects'!$C$2:$J$37,8,FALSE),"")</f>
        <v/>
      </c>
      <c r="M70" s="6" t="n"/>
      <c r="N70" s="6" t="n"/>
      <c r="O70" s="6" t="n"/>
      <c r="P70" s="6" t="n"/>
      <c r="Q70" s="6" t="n"/>
      <c r="R70" s="6" t="n"/>
      <c r="S70" s="6" t="n"/>
      <c r="T70" s="6" t="n"/>
      <c r="U70" s="6" t="n"/>
      <c r="V70" s="6" t="n"/>
      <c r="W70" s="6" t="n"/>
      <c r="X70" s="6" t="n"/>
      <c r="Y70" s="6" t="n"/>
      <c r="Z70" s="6" t="n"/>
    </row>
    <row r="71" ht="21" customHeight="1" s="37">
      <c r="A71" s="15" t="inlineStr">
        <is>
          <t>ebooks/the-ai-music-revolution-creativity-controversy-and-collaboration/index.html</t>
        </is>
      </c>
      <c r="B71" s="16" t="inlineStr">
        <is>
          <t>/ebooks/the-ai-music-revolution-creativity-controversy-and-collaboration/</t>
        </is>
      </c>
      <c r="C71" s="17">
        <f>$B$1&amp;B71</f>
        <v/>
      </c>
      <c r="D71" s="18" t="inlineStr">
        <is>
          <t>The AI Music Revolution | Jonathan Harris</t>
        </is>
      </c>
      <c r="E71" s="18" t="inlineStr">
        <is>
          <t>Canonical ebook route</t>
        </is>
      </c>
      <c r="F71" s="19" t="inlineStr">
        <is>
          <t>https://jonathan-harris.online/ebooks/the-ai-music-revolution-creativity-controversy-and-collaboration/buy-now</t>
        </is>
      </c>
      <c r="G71" s="19" t="inlineStr">
        <is>
          <t>https://mybook.to/Io32sC3</t>
        </is>
      </c>
      <c r="H71" s="18" t="n"/>
      <c r="I71" s="18">
        <f>IFERROR(VLOOKUP($F71,'BuyNow Redirects'!$C$2:$J$37,5,FALSE),"")</f>
        <v/>
      </c>
      <c r="J71" s="20">
        <f>IFERROR(VLOOKUP($F71,'BuyNow Redirects'!$C$2:$J$37,6,FALSE),"")</f>
        <v/>
      </c>
      <c r="K71" s="21">
        <f>IFERROR(VLOOKUP($F71,'BuyNow Redirects'!$C$2:$J$37,7,FALSE),"")</f>
        <v/>
      </c>
      <c r="L71" s="22">
        <f>IFERROR(VLOOKUP($F71,'BuyNow Redirects'!$C$2:$J$37,8,FALSE),"")</f>
        <v/>
      </c>
      <c r="M71" s="6" t="n"/>
      <c r="N71" s="6" t="n"/>
      <c r="O71" s="6" t="n"/>
      <c r="P71" s="6" t="n"/>
      <c r="Q71" s="6" t="n"/>
      <c r="R71" s="6" t="n"/>
      <c r="S71" s="6" t="n"/>
      <c r="T71" s="6" t="n"/>
      <c r="U71" s="6" t="n"/>
      <c r="V71" s="6" t="n"/>
      <c r="W71" s="6" t="n"/>
      <c r="X71" s="6" t="n"/>
      <c r="Y71" s="6" t="n"/>
      <c r="Z71" s="6" t="n"/>
    </row>
    <row r="72" ht="21" customHeight="1" s="37">
      <c r="A72" s="8" t="inlineStr">
        <is>
          <t>ebooks/the-architects-of-ai-pioneers-breakthroughs-and-the-road-ahead/index.html</t>
        </is>
      </c>
      <c r="B72" s="9" t="inlineStr">
        <is>
          <t>/ebooks/the-architects-of-ai-pioneers-breakthroughs-and-the-road-ahead/</t>
        </is>
      </c>
      <c r="C72" s="10">
        <f>$B$1&amp;B72</f>
        <v/>
      </c>
      <c r="D72" s="11" t="inlineStr">
        <is>
          <t>The Architects of AI | Jonathan Harris</t>
        </is>
      </c>
      <c r="E72" s="11" t="inlineStr">
        <is>
          <t>Canonical ebook route</t>
        </is>
      </c>
      <c r="F72" s="12" t="inlineStr">
        <is>
          <t>https://jonathan-harris.online/ebooks/the-architects-of-ai-pioneers-breakthroughs-and-the-road-ahead/buy-now</t>
        </is>
      </c>
      <c r="G72" s="12" t="inlineStr">
        <is>
          <t>https://mybook.to/qFAI</t>
        </is>
      </c>
      <c r="H72" s="11" t="n"/>
      <c r="I72" s="11">
        <f>IFERROR(VLOOKUP($F72,'BuyNow Redirects'!$C$2:$J$37,5,FALSE),"")</f>
        <v/>
      </c>
      <c r="J72" s="13">
        <f>IFERROR(VLOOKUP($F72,'BuyNow Redirects'!$C$2:$J$37,6,FALSE),"")</f>
        <v/>
      </c>
      <c r="K72" s="14">
        <f>IFERROR(VLOOKUP($F72,'BuyNow Redirects'!$C$2:$J$37,7,FALSE),"")</f>
        <v/>
      </c>
      <c r="L72" s="23">
        <f>IFERROR(VLOOKUP($F72,'BuyNow Redirects'!$C$2:$J$37,8,FALSE),"")</f>
        <v/>
      </c>
      <c r="M72" s="6" t="n"/>
      <c r="N72" s="6" t="n"/>
      <c r="O72" s="6" t="n"/>
      <c r="P72" s="6" t="n"/>
      <c r="Q72" s="6" t="n"/>
      <c r="R72" s="6" t="n"/>
      <c r="S72" s="6" t="n"/>
      <c r="T72" s="6" t="n"/>
      <c r="U72" s="6" t="n"/>
      <c r="V72" s="6" t="n"/>
      <c r="W72" s="6" t="n"/>
      <c r="X72" s="6" t="n"/>
      <c r="Y72" s="6" t="n"/>
      <c r="Z72" s="6" t="n"/>
    </row>
    <row r="73" ht="21" customHeight="1" s="37">
      <c r="A73" s="15" t="inlineStr">
        <is>
          <t>ebooks/the-artificial-intelligence-job-shift-navigating-the-future-of-work/index.html</t>
        </is>
      </c>
      <c r="B73" s="16" t="inlineStr">
        <is>
          <t>/ebooks/the-artificial-intelligence-job-shift-navigating-the-future-of-work/</t>
        </is>
      </c>
      <c r="C73" s="17">
        <f>$B$1&amp;B73</f>
        <v/>
      </c>
      <c r="D73" s="18" t="inlineStr">
        <is>
          <t>The AI Job Shift | Jonathan Harris</t>
        </is>
      </c>
      <c r="E73" s="18" t="inlineStr">
        <is>
          <t>Canonical ebook route</t>
        </is>
      </c>
      <c r="F73" s="19" t="inlineStr">
        <is>
          <t>https://jonathan-harris.online/ebooks/the-artificial-intelligence-job-shift-navigating-the-future-of-work/buy-now</t>
        </is>
      </c>
      <c r="G73" s="19" t="inlineStr">
        <is>
          <t>https://mybook.to/aijobshift</t>
        </is>
      </c>
      <c r="H73" s="18" t="n"/>
      <c r="I73" s="18">
        <f>IFERROR(VLOOKUP($F73,'BuyNow Redirects'!$C$2:$J$37,5,FALSE),"")</f>
        <v/>
      </c>
      <c r="J73" s="20">
        <f>IFERROR(VLOOKUP($F73,'BuyNow Redirects'!$C$2:$J$37,6,FALSE),"")</f>
        <v/>
      </c>
      <c r="K73" s="21">
        <f>IFERROR(VLOOKUP($F73,'BuyNow Redirects'!$C$2:$J$37,7,FALSE),"")</f>
        <v/>
      </c>
      <c r="L73" s="22">
        <f>IFERROR(VLOOKUP($F73,'BuyNow Redirects'!$C$2:$J$37,8,FALSE),"")</f>
        <v/>
      </c>
      <c r="M73" s="6" t="n"/>
      <c r="N73" s="6" t="n"/>
      <c r="O73" s="6" t="n"/>
      <c r="P73" s="6" t="n"/>
      <c r="Q73" s="6" t="n"/>
      <c r="R73" s="6" t="n"/>
      <c r="S73" s="6" t="n"/>
      <c r="T73" s="6" t="n"/>
      <c r="U73" s="6" t="n"/>
      <c r="V73" s="6" t="n"/>
      <c r="W73" s="6" t="n"/>
      <c r="X73" s="6" t="n"/>
      <c r="Y73" s="6" t="n"/>
      <c r="Z73" s="6" t="n"/>
    </row>
    <row r="74" ht="21" customHeight="1" s="37">
      <c r="A74" s="8" t="inlineStr">
        <is>
          <t>ebooks/the-artificial-intelligence-revolution-from-algorithms-to-consciousness/index.html</t>
        </is>
      </c>
      <c r="B74" s="9" t="inlineStr">
        <is>
          <t>/ebooks/the-artificial-intelligence-revolution-from-algorithms-to-consciousness/</t>
        </is>
      </c>
      <c r="C74" s="10">
        <f>$B$1&amp;B74</f>
        <v/>
      </c>
      <c r="D74" s="11" t="inlineStr">
        <is>
          <t>The AI Revolution | Jonathan Harris</t>
        </is>
      </c>
      <c r="E74" s="11" t="inlineStr">
        <is>
          <t>Canonical ebook route</t>
        </is>
      </c>
      <c r="F74" s="12" t="inlineStr">
        <is>
          <t>https://jonathan-harris.online/ebooks/the-artificial-intelligence-revolution-from-algorithms-to-consciousness/buy-now</t>
        </is>
      </c>
      <c r="G74" s="12" t="inlineStr">
        <is>
          <t>https://mybook.to/YYLW</t>
        </is>
      </c>
      <c r="H74" s="11" t="n"/>
      <c r="I74" s="11">
        <f>IFERROR(VLOOKUP($F74,'BuyNow Redirects'!$C$2:$J$37,5,FALSE),"")</f>
        <v/>
      </c>
      <c r="J74" s="13">
        <f>IFERROR(VLOOKUP($F74,'BuyNow Redirects'!$C$2:$J$37,6,FALSE),"")</f>
        <v/>
      </c>
      <c r="K74" s="14">
        <f>IFERROR(VLOOKUP($F74,'BuyNow Redirects'!$C$2:$J$37,7,FALSE),"")</f>
        <v/>
      </c>
      <c r="L74" s="23">
        <f>IFERROR(VLOOKUP($F74,'BuyNow Redirects'!$C$2:$J$37,8,FALSE),"")</f>
        <v/>
      </c>
      <c r="M74" s="6" t="n"/>
      <c r="N74" s="6" t="n"/>
      <c r="O74" s="6" t="n"/>
      <c r="P74" s="6" t="n"/>
      <c r="Q74" s="6" t="n"/>
      <c r="R74" s="6" t="n"/>
      <c r="S74" s="6" t="n"/>
      <c r="T74" s="6" t="n"/>
      <c r="U74" s="6" t="n"/>
      <c r="V74" s="6" t="n"/>
      <c r="W74" s="6" t="n"/>
      <c r="X74" s="6" t="n"/>
      <c r="Y74" s="6" t="n"/>
      <c r="Z74" s="6" t="n"/>
    </row>
    <row r="75" ht="21" customHeight="1" s="37">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18" t="inlineStr">
        <is>
          <t>The Autonomous Revolution | Jonathan Harris</t>
        </is>
      </c>
      <c r="E75" s="18" t="inlineStr">
        <is>
          <t>Canonical ebook route</t>
        </is>
      </c>
      <c r="F75" s="19" t="inlineStr">
        <is>
          <t>https://jonathan-harris.online/ebooks/the-autonomous-revolution-artificial-intelligence-and-the-future-of-the-automotive-industry/buy-now</t>
        </is>
      </c>
      <c r="G75" s="19" t="inlineStr">
        <is>
          <t>https://mybook.to/DS4Ag</t>
        </is>
      </c>
      <c r="H75" s="18" t="n"/>
      <c r="I75" s="18">
        <f>IFERROR(VLOOKUP($F75,'BuyNow Redirects'!$C$2:$J$37,5,FALSE),"")</f>
        <v/>
      </c>
      <c r="J75" s="20">
        <f>IFERROR(VLOOKUP($F75,'BuyNow Redirects'!$C$2:$J$37,6,FALSE),"")</f>
        <v/>
      </c>
      <c r="K75" s="21">
        <f>IFERROR(VLOOKUP($F75,'BuyNow Redirects'!$C$2:$J$37,7,FALSE),"")</f>
        <v/>
      </c>
      <c r="L75" s="22">
        <f>IFERROR(VLOOKUP($F75,'BuyNow Redirects'!$C$2:$J$37,8,FALSE),"")</f>
        <v/>
      </c>
      <c r="M75" s="6" t="n"/>
      <c r="N75" s="6" t="n"/>
      <c r="O75" s="6" t="n"/>
      <c r="P75" s="6" t="n"/>
      <c r="Q75" s="6" t="n"/>
      <c r="R75" s="6" t="n"/>
      <c r="S75" s="6" t="n"/>
      <c r="T75" s="6" t="n"/>
      <c r="U75" s="6" t="n"/>
      <c r="V75" s="6" t="n"/>
      <c r="W75" s="6" t="n"/>
      <c r="X75" s="6" t="n"/>
      <c r="Y75" s="6" t="n"/>
      <c r="Z75" s="6" t="n"/>
    </row>
    <row r="76" ht="21" customHeight="1" s="37">
      <c r="A76" s="8" t="inlineStr">
        <is>
          <t>ebooks/the-dumbening-how-ai-is-reshaping-our-minds/index.html</t>
        </is>
      </c>
      <c r="B76" s="9" t="inlineStr">
        <is>
          <t>/ebooks/the-dumbening-how-ai-is-reshaping-our-minds/</t>
        </is>
      </c>
      <c r="C76" s="10">
        <f>$B$1&amp;B76</f>
        <v/>
      </c>
      <c r="D76" s="11" t="inlineStr">
        <is>
          <t>The Dumbening: How AI is Reshaping Our Minds | Jonathan Harris</t>
        </is>
      </c>
      <c r="E76" s="11" t="inlineStr">
        <is>
          <t>Canonical ebook route</t>
        </is>
      </c>
      <c r="F76" s="12" t="inlineStr">
        <is>
          <t>https://jonathan-harris.online/ebooks/the-dumbening-how-ai-is-reshaping-our-minds/buy-now</t>
        </is>
      </c>
      <c r="G76" s="12" t="inlineStr">
        <is>
          <t>https://mybook.to/YcRiCRp</t>
        </is>
      </c>
      <c r="H76" s="11" t="n"/>
      <c r="I76" s="11">
        <f>IFERROR(VLOOKUP($F76,'BuyNow Redirects'!$C$2:$J$37,5,FALSE),"")</f>
        <v/>
      </c>
      <c r="J76" s="13">
        <f>IFERROR(VLOOKUP($F76,'BuyNow Redirects'!$C$2:$J$37,6,FALSE),"")</f>
        <v/>
      </c>
      <c r="K76" s="14">
        <f>IFERROR(VLOOKUP($F76,'BuyNow Redirects'!$C$2:$J$37,7,FALSE),"")</f>
        <v/>
      </c>
      <c r="L76" s="23">
        <f>IFERROR(VLOOKUP($F76,'BuyNow Redirects'!$C$2:$J$37,8,FALSE),"")</f>
        <v/>
      </c>
      <c r="M76" s="6" t="n"/>
      <c r="N76" s="6" t="n"/>
      <c r="O76" s="6" t="n"/>
      <c r="P76" s="6" t="n"/>
      <c r="Q76" s="6" t="n"/>
      <c r="R76" s="6" t="n"/>
      <c r="S76" s="6" t="n"/>
      <c r="T76" s="6" t="n"/>
      <c r="U76" s="6" t="n"/>
      <c r="V76" s="6" t="n"/>
      <c r="W76" s="6" t="n"/>
      <c r="X76" s="6" t="n"/>
      <c r="Y76" s="6" t="n"/>
      <c r="Z76" s="6" t="n"/>
    </row>
    <row r="77" ht="21" customHeight="1" s="37">
      <c r="A77" s="15" t="inlineStr">
        <is>
          <t>ebooks/the-future-of-government-leveraging-ai-to-enhance-services-and-safeguard-information/index.html</t>
        </is>
      </c>
      <c r="B77" s="16" t="inlineStr">
        <is>
          <t>/ebooks/the-future-of-government-leveraging-ai-to-enhance-services-and-safeguard-information/</t>
        </is>
      </c>
      <c r="C77" s="17">
        <f>$B$1&amp;B77</f>
        <v/>
      </c>
      <c r="D77" s="18" t="inlineStr">
        <is>
          <t>The Future of Government and AI | Jonathan Harris</t>
        </is>
      </c>
      <c r="E77" s="18" t="inlineStr">
        <is>
          <t>Canonical ebook route</t>
        </is>
      </c>
      <c r="F77" s="19" t="inlineStr">
        <is>
          <t>https://jonathan-harris.online/ebooks/the-future-of-government-leveraging-ai-to-enhance-services-and-safeguard-information/buy-now</t>
        </is>
      </c>
      <c r="G77" s="19" t="inlineStr">
        <is>
          <t>https://mybook.to/3TwcUA</t>
        </is>
      </c>
      <c r="H77" s="18" t="n"/>
      <c r="I77" s="18">
        <f>IFERROR(VLOOKUP($F77,'BuyNow Redirects'!$C$2:$J$37,5,FALSE),"")</f>
        <v/>
      </c>
      <c r="J77" s="20">
        <f>IFERROR(VLOOKUP($F77,'BuyNow Redirects'!$C$2:$J$37,6,FALSE),"")</f>
        <v/>
      </c>
      <c r="K77" s="21">
        <f>IFERROR(VLOOKUP($F77,'BuyNow Redirects'!$C$2:$J$37,7,FALSE),"")</f>
        <v/>
      </c>
      <c r="L77" s="22">
        <f>IFERROR(VLOOKUP($F77,'BuyNow Redirects'!$C$2:$J$37,8,FALSE),"")</f>
        <v/>
      </c>
      <c r="M77" s="6" t="n"/>
      <c r="N77" s="6" t="n"/>
      <c r="O77" s="6" t="n"/>
      <c r="P77" s="6" t="n"/>
      <c r="Q77" s="6" t="n"/>
      <c r="R77" s="6" t="n"/>
      <c r="S77" s="6" t="n"/>
      <c r="T77" s="6" t="n"/>
      <c r="U77" s="6" t="n"/>
      <c r="V77" s="6" t="n"/>
      <c r="W77" s="6" t="n"/>
      <c r="X77" s="6" t="n"/>
      <c r="Y77" s="6" t="n"/>
      <c r="Z77" s="6" t="n"/>
    </row>
    <row r="78" ht="21" customHeight="1" s="37">
      <c r="A78" s="8" t="inlineStr">
        <is>
          <t>ebooks/the-house-always-knows-ai-gambling-and-the-ethics-of-personalized-gaming/index.html</t>
        </is>
      </c>
      <c r="B78" s="9" t="inlineStr">
        <is>
          <t>/ebooks/the-house-always-knows-ai-gambling-and-the-ethics-of-personalized-gaming/</t>
        </is>
      </c>
      <c r="C78" s="10">
        <f>$B$1&amp;B78</f>
        <v/>
      </c>
      <c r="D78" s="11" t="inlineStr">
        <is>
          <t>The House Always Knows | Jonathan Harris</t>
        </is>
      </c>
      <c r="E78" s="11" t="inlineStr">
        <is>
          <t>Canonical ebook route</t>
        </is>
      </c>
      <c r="F78" s="12" t="inlineStr">
        <is>
          <t>https://jonathan-harris.online/ebooks/the-house-always-knows-ai-gambling-and-the-ethics-of-personalized-gaming/buy-now</t>
        </is>
      </c>
      <c r="G78" s="12" t="inlineStr">
        <is>
          <t>https://mybook.to/K7nVJGv</t>
        </is>
      </c>
      <c r="H78" s="11" t="n"/>
      <c r="I78" s="11">
        <f>IFERROR(VLOOKUP($F78,'BuyNow Redirects'!$C$2:$J$37,5,FALSE),"")</f>
        <v/>
      </c>
      <c r="J78" s="13">
        <f>IFERROR(VLOOKUP($F78,'BuyNow Redirects'!$C$2:$J$37,6,FALSE),"")</f>
        <v/>
      </c>
      <c r="K78" s="14">
        <f>IFERROR(VLOOKUP($F78,'BuyNow Redirects'!$C$2:$J$37,7,FALSE),"")</f>
        <v/>
      </c>
      <c r="L78" s="23">
        <f>IFERROR(VLOOKUP($F78,'BuyNow Redirects'!$C$2:$J$37,8,FALSE),"")</f>
        <v/>
      </c>
      <c r="M78" s="6" t="n"/>
      <c r="N78" s="6" t="n"/>
      <c r="O78" s="6" t="n"/>
      <c r="P78" s="6" t="n"/>
      <c r="Q78" s="6" t="n"/>
      <c r="R78" s="6" t="n"/>
      <c r="S78" s="6" t="n"/>
      <c r="T78" s="6" t="n"/>
      <c r="U78" s="6" t="n"/>
      <c r="V78" s="6" t="n"/>
      <c r="W78" s="6" t="n"/>
      <c r="X78" s="6" t="n"/>
      <c r="Y78" s="6" t="n"/>
      <c r="Z78" s="6" t="n"/>
    </row>
    <row r="79" ht="21" customHeight="1" s="37">
      <c r="A79" s="15" t="inlineStr">
        <is>
          <t>topics/generative-ai/index.html</t>
        </is>
      </c>
      <c r="B79" s="16" t="inlineStr">
        <is>
          <t>/topics/generative-ai/</t>
        </is>
      </c>
      <c r="C79" s="17">
        <f>$B$1&amp;B79</f>
        <v/>
      </c>
      <c r="D79" s="18" t="inlineStr">
        <is>
          <t>Generative AI | Jonathan Harris</t>
        </is>
      </c>
      <c r="E79" s="18" t="inlineStr">
        <is>
          <t>Standard page route</t>
        </is>
      </c>
      <c r="F79" s="19" t="n"/>
      <c r="G79" s="19" t="n"/>
      <c r="H79" s="18" t="n"/>
      <c r="I79" s="18">
        <f>IFERROR(VLOOKUP($F79,'BuyNow Redirects'!$C$2:$J$37,5,FALSE),"")</f>
        <v/>
      </c>
      <c r="J79" s="20">
        <f>IFERROR(VLOOKUP($F79,'BuyNow Redirects'!$C$2:$J$37,6,FALSE),"")</f>
        <v/>
      </c>
      <c r="K79" s="21">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7">
      <c r="A80" s="8" t="inlineStr">
        <is>
          <t>glossary/index.html</t>
        </is>
      </c>
      <c r="B80" s="9" t="inlineStr">
        <is>
          <t>/glossary/</t>
        </is>
      </c>
      <c r="C80" s="10">
        <f>$B$1&amp;B80</f>
        <v/>
      </c>
      <c r="D80" s="11" t="inlineStr">
        <is>
          <t>Glossary | Jonathan Harris</t>
        </is>
      </c>
      <c r="E80" s="11" t="inlineStr">
        <is>
          <t>Standard page route</t>
        </is>
      </c>
      <c r="F80" s="12" t="n"/>
      <c r="G80" s="12" t="n"/>
      <c r="H80" s="11" t="n"/>
      <c r="I80" s="11">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7">
      <c r="A81" s="15" t="inlineStr">
        <is>
          <t>newsletter/index.html</t>
        </is>
      </c>
      <c r="B81" s="16" t="inlineStr">
        <is>
          <t>/newsletter/</t>
        </is>
      </c>
      <c r="C81" s="17">
        <f>$B$1&amp;B81</f>
        <v/>
      </c>
      <c r="D81" s="18" t="inlineStr">
        <is>
          <t>Get the AI Edge | Jonathan Harris</t>
        </is>
      </c>
      <c r="E81" s="18" t="inlineStr">
        <is>
          <t>Standard page route</t>
        </is>
      </c>
      <c r="F81" s="19" t="n"/>
      <c r="G81" s="19" t="n"/>
      <c r="H81" s="18" t="n"/>
      <c r="I81" s="18">
        <f>IFERROR(VLOOKUP($F81,'BuyNow Redirects'!$C$2:$J$37,5,FALSE),"")</f>
        <v/>
      </c>
      <c r="J81" s="20">
        <f>IFERROR(VLOOKUP($F81,'BuyNow Redirects'!$C$2:$J$37,6,FALSE),"")</f>
        <v/>
      </c>
      <c r="K81" s="21">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7">
      <c r="A82" s="8" t="inlineStr">
        <is>
          <t>podcast/index.html</t>
        </is>
      </c>
      <c r="B82" s="9" t="inlineStr">
        <is>
          <t>/podcast/</t>
        </is>
      </c>
      <c r="C82" s="10">
        <f>$B$1&amp;B82</f>
        <v/>
      </c>
      <c r="D82" s="11" t="inlineStr">
        <is>
          <t>Turing’s Torch: AI Weekly | Jonathan Harris</t>
        </is>
      </c>
      <c r="E82" s="11" t="inlineStr">
        <is>
          <t>Standard page route</t>
        </is>
      </c>
      <c r="F82" s="12" t="n"/>
      <c r="G82" s="12" t="n"/>
      <c r="H82" s="18" t="n"/>
      <c r="I82" s="11">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7">
      <c r="A83" s="15" t="inlineStr">
        <is>
          <t>privacy-policy/index.html</t>
        </is>
      </c>
      <c r="B83" s="16" t="inlineStr">
        <is>
          <t>/privacy-policy/</t>
        </is>
      </c>
      <c r="C83" s="17">
        <f>$B$1&amp;B83</f>
        <v/>
      </c>
      <c r="D83" s="18" t="inlineStr">
        <is>
          <t>Privacy Policy | Jonathan Harris</t>
        </is>
      </c>
      <c r="E83" s="18" t="inlineStr">
        <is>
          <t>Standard page route</t>
        </is>
      </c>
      <c r="F83" s="19" t="n"/>
      <c r="G83" s="19" t="n"/>
      <c r="H83" s="18" t="n"/>
      <c r="I83" s="18">
        <f>IFERROR(VLOOKUP($F83,'BuyNow Redirects'!$C$2:$J$37,5,FALSE),"")</f>
        <v/>
      </c>
      <c r="J83" s="20">
        <f>IFERROR(VLOOKUP($F83,'BuyNow Redirects'!$C$2:$J$37,6,FALSE),"")</f>
        <v/>
      </c>
      <c r="K83" s="21">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7">
      <c r="A84" s="8" t="inlineStr">
        <is>
          <t>topics/robotics-automation/index.html</t>
        </is>
      </c>
      <c r="B84" s="9" t="inlineStr">
        <is>
          <t>/topics/robotics-automation/</t>
        </is>
      </c>
      <c r="C84" s="10">
        <f>$B$1&amp;B84</f>
        <v/>
      </c>
      <c r="D84" s="11" t="inlineStr">
        <is>
          <t>Robotics &amp; Automation | Jonathan Harris</t>
        </is>
      </c>
      <c r="E84" s="11" t="inlineStr">
        <is>
          <t>Standard page route</t>
        </is>
      </c>
      <c r="F84" s="12" t="n"/>
      <c r="G84" s="12" t="n"/>
      <c r="H84" s="11" t="n"/>
      <c r="I84" s="11">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7">
      <c r="A85" s="15" t="inlineStr">
        <is>
          <t>terms-of-use/index.html</t>
        </is>
      </c>
      <c r="B85" s="16" t="inlineStr">
        <is>
          <t>/terms-of-use/</t>
        </is>
      </c>
      <c r="C85" s="17">
        <f>$B$1&amp;B85</f>
        <v/>
      </c>
      <c r="D85" s="18" t="inlineStr">
        <is>
          <t>Terms of Use | Jonathan Harris</t>
        </is>
      </c>
      <c r="E85" s="18" t="inlineStr">
        <is>
          <t>Standard page route</t>
        </is>
      </c>
      <c r="F85" s="19" t="n"/>
      <c r="G85" s="19" t="n"/>
      <c r="H85" s="18" t="n"/>
      <c r="I85" s="18">
        <f>IFERROR(VLOOKUP($F85,'BuyNow Redirects'!$C$2:$J$37,5,FALSE),"")</f>
        <v/>
      </c>
      <c r="J85" s="20">
        <f>IFERROR(VLOOKUP($F85,'BuyNow Redirects'!$C$2:$J$37,6,FALSE),"")</f>
        <v/>
      </c>
      <c r="K85" s="21">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7">
      <c r="A86" s="8" t="inlineStr">
        <is>
          <t>topics/index.html</t>
        </is>
      </c>
      <c r="B86" s="9" t="inlineStr">
        <is>
          <t>/topics/</t>
        </is>
      </c>
      <c r="C86" s="10">
        <f>$B$1&amp;B86</f>
        <v/>
      </c>
      <c r="D86" s="11" t="inlineStr">
        <is>
          <t>AI Topics | Jonathan Harris</t>
        </is>
      </c>
      <c r="E86" s="11" t="inlineStr">
        <is>
          <t>Standard page route</t>
        </is>
      </c>
      <c r="F86" s="12" t="n"/>
      <c r="G86" s="12" t="n"/>
      <c r="H86" s="11" t="n"/>
      <c r="I86" s="11">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7">
      <c r="A87" s="6" t="inlineStr">
        <is>
          <t>topics/ai-ethics/index.html</t>
        </is>
      </c>
      <c r="B87" s="6" t="inlineStr">
        <is>
          <t>/topics/ai-ethics/</t>
        </is>
      </c>
      <c r="C87" s="6" t="inlineStr">
        <is>
          <t>https://jonathan-harris.online/topics/ai-ethics/</t>
        </is>
      </c>
      <c r="D87" s="6" t="inlineStr">
        <is>
          <t>AI Ethics | Jonathan Harris</t>
        </is>
      </c>
      <c r="E87" s="6" t="inlineStr">
        <is>
          <t>Topic guide</t>
        </is>
      </c>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7">
      <c r="A88" s="6" t="inlineStr">
        <is>
          <t>topics/ai-in-education/index.html</t>
        </is>
      </c>
      <c r="B88" s="6" t="inlineStr">
        <is>
          <t>/topics/ai-in-education/</t>
        </is>
      </c>
      <c r="C88" s="6" t="inlineStr">
        <is>
          <t>https://jonathan-harris.online/topics/ai-in-education/</t>
        </is>
      </c>
      <c r="D88" s="6" t="inlineStr">
        <is>
          <t>AI in Education Guide | Jonathan Harris</t>
        </is>
      </c>
      <c r="E88" s="6" t="inlineStr">
        <is>
          <t>Topic guide</t>
        </is>
      </c>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7">
      <c r="A89" s="6" t="inlineStr">
        <is>
          <t>topics/ai-in-finance/index.html</t>
        </is>
      </c>
      <c r="B89" s="6" t="inlineStr">
        <is>
          <t>/topics/ai-in-finance/</t>
        </is>
      </c>
      <c r="C89" s="6" t="inlineStr">
        <is>
          <t>https://jonathan-harris.online/topics/ai-in-finance/</t>
        </is>
      </c>
      <c r="D89" s="6" t="inlineStr">
        <is>
          <t>AI in Finance | Jonathan Harris</t>
        </is>
      </c>
      <c r="E89" s="6" t="inlineStr">
        <is>
          <t>Topic guide</t>
        </is>
      </c>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7">
      <c r="A90" s="6" t="inlineStr">
        <is>
          <t>topics/deep-learning/index.html</t>
        </is>
      </c>
      <c r="B90" s="6" t="inlineStr">
        <is>
          <t>/topics/deep-learning/</t>
        </is>
      </c>
      <c r="C90" s="6" t="inlineStr">
        <is>
          <t>https://jonathan-harris.online/topics/deep-learning/</t>
        </is>
      </c>
      <c r="D90" s="6" t="inlineStr">
        <is>
          <t>Deep Learning | Jonathan Harris</t>
        </is>
      </c>
      <c r="E90" s="6" t="inlineStr">
        <is>
          <t>Topic guide</t>
        </is>
      </c>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7">
      <c r="A91" s="6" t="inlineStr">
        <is>
          <t>topics/machine-learning/index.html</t>
        </is>
      </c>
      <c r="B91" s="6" t="inlineStr">
        <is>
          <t>/topics/machine-learning/</t>
        </is>
      </c>
      <c r="C91" s="6" t="inlineStr">
        <is>
          <t>https://jonathan-harris.online/topics/machine-learning/</t>
        </is>
      </c>
      <c r="D91" s="6" t="inlineStr">
        <is>
          <t>Machine Learning | Jonathan Harris</t>
        </is>
      </c>
      <c r="E91" s="6" t="inlineStr">
        <is>
          <t>Topic guide</t>
        </is>
      </c>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7">
      <c r="A92" s="6" t="n"/>
      <c r="B92" s="6" t="n"/>
      <c r="C92" s="6" t="n"/>
      <c r="D92" s="6" t="n"/>
      <c r="E92" s="6" t="n"/>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7">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7">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7">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7">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7">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7">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7">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7">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7">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7">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7">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7">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7">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7">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7">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7">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7">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7">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7">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7">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7">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7">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7">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7">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7">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7">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7">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7">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7">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7">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7">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7">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7">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7">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7">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7">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7">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7">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7">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7">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7">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7">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7">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7">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7">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7">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7">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7">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7">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7">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7">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7">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7">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7">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7">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7">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7">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7">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7">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7">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7">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7">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7">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7">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7">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7">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7">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7">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7">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7">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7">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7">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7">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7">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7">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7">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7">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7">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7">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7">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7">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7">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7">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7">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7">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7">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7">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7">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7">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7">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7">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7">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7">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7">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7">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7">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7">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7">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7">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7">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7">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7">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7">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7">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7">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7">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7">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7">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7">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7">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7">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7">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7">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7">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7">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7">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7">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7">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7">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7">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7">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7">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7">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7">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7">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7">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7">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7">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7">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7">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7">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7">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7">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7">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7">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7">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7">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7">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7">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7">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7">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7">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7">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7">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7">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7">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7">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7">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7">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7">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7">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7">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7">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7">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7">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7">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7">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7">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7">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7">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7">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7">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7">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7">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7">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7">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7">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7">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7">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7">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7">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7">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7">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7">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7">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7">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7">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7">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7">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7">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7">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7">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7">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7">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7">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7">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7">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7">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7">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7">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7">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7">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7">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7">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7">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7">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7">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7">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7">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7">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7">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7">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7">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7">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7">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row r="298" ht="21" customHeight="1" s="37">
      <c r="A298" s="8" t="inlineStr">
        <is>
          <t>transcripts/index.html</t>
        </is>
      </c>
      <c r="B298" s="9" t="inlineStr">
        <is>
          <t>/transcripts/</t>
        </is>
      </c>
      <c r="C298" s="39">
        <f>$B$1&amp;B298</f>
        <v/>
      </c>
      <c r="D298" s="11" t="inlineStr">
        <is>
          <t>Podcast Transcripts | Jonathan Harris</t>
        </is>
      </c>
      <c r="E298" s="11" t="inlineStr">
        <is>
          <t>Standard page route</t>
        </is>
      </c>
      <c r="F298" s="12" t="n"/>
      <c r="G298" s="12" t="n"/>
      <c r="H298" s="18" t="inlineStr">
        <is>
          <t>Podcast transcript archive page</t>
        </is>
      </c>
      <c r="I298" s="11">
        <f>IFERROR(VLOOKUP($F298,'BuyNow Redirects'!$C$2:$J$37,5,FALSE),"")</f>
        <v/>
      </c>
      <c r="J298" s="13">
        <f>IFERROR(VLOOKUP($F298,'BuyNow Redirects'!$C$2:$J$37,6,FALSE),"")</f>
        <v/>
      </c>
      <c r="K298" s="14">
        <f>IFERROR(VLOOKUP($F298,'BuyNow Redirects'!$C$2:$J$37,7,FALSE),"")</f>
        <v/>
      </c>
      <c r="L298" s="12">
        <f>IFERROR(VLOOKUP($F298,'BuyNow Redirects'!$C$2:$J$37,8,FALSE),"")</f>
        <v/>
      </c>
      <c r="M298" s="6" t="n"/>
      <c r="N298" s="6" t="n"/>
      <c r="O298" s="6" t="n"/>
      <c r="P298" s="6" t="n"/>
      <c r="Q298" s="6" t="n"/>
      <c r="R298" s="6" t="n"/>
      <c r="S298" s="6" t="n"/>
      <c r="T298" s="6" t="n"/>
      <c r="U298" s="6" t="n"/>
      <c r="V298" s="6" t="n"/>
      <c r="W298" s="6" t="n"/>
      <c r="X298" s="6" t="n"/>
      <c r="Y298" s="6" t="n"/>
      <c r="Z298" s="6" t="n"/>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V220"/>
  <sheetViews>
    <sheetView workbookViewId="0">
      <selection activeCell="A1" sqref="A1"/>
    </sheetView>
  </sheetViews>
  <sheetFormatPr baseColWidth="8" defaultColWidth="12.63" defaultRowHeight="15" customHeight="1"/>
  <cols>
    <col width="31.5" customWidth="1" style="37" min="1" max="1"/>
    <col width="21" customWidth="1" style="37" min="2" max="2"/>
    <col width="7.63" customWidth="1" style="37" min="3" max="6"/>
  </cols>
  <sheetData>
    <row r="1">
      <c r="A1" s="38" t="inlineStr">
        <is>
          <t>Site URL inventory summary</t>
        </is>
      </c>
      <c r="E1" s="2" t="n"/>
      <c r="F1" s="2" t="n"/>
      <c r="G1" s="2" t="n"/>
      <c r="H1" s="2" t="n"/>
      <c r="I1" s="2" t="n"/>
      <c r="J1" s="2" t="n"/>
      <c r="K1" s="2" t="n"/>
      <c r="L1" s="2" t="n"/>
      <c r="M1" s="2" t="n"/>
      <c r="N1" s="2" t="n"/>
      <c r="O1" s="2" t="n"/>
      <c r="P1" s="2" t="n"/>
      <c r="Q1" s="2" t="n"/>
      <c r="R1" s="2" t="n"/>
      <c r="S1" s="2" t="n"/>
      <c r="T1" s="2" t="n"/>
      <c r="U1" s="2" t="n"/>
      <c r="V1" s="2" t="n"/>
    </row>
    <row r="2">
      <c r="A2" s="2" t="n"/>
      <c r="B2" s="2" t="n"/>
      <c r="C2" s="2" t="n"/>
      <c r="D2" s="2" t="n"/>
      <c r="E2" s="2" t="n"/>
      <c r="F2" s="2" t="n"/>
      <c r="G2" s="2" t="n"/>
      <c r="H2" s="2" t="n"/>
      <c r="I2" s="2" t="n"/>
      <c r="J2" s="2" t="n"/>
      <c r="K2" s="2" t="n"/>
      <c r="L2" s="2" t="n"/>
      <c r="M2" s="2" t="n"/>
      <c r="N2" s="2" t="n"/>
      <c r="O2" s="2" t="n"/>
      <c r="P2" s="2" t="n"/>
      <c r="Q2" s="2" t="n"/>
      <c r="R2" s="2" t="n"/>
      <c r="S2" s="2" t="n"/>
      <c r="T2" s="2" t="n"/>
      <c r="U2" s="2" t="n"/>
      <c r="V2" s="2" t="n"/>
    </row>
    <row r="3">
      <c r="A3" s="27" t="inlineStr">
        <is>
          <t>Base domain</t>
        </is>
      </c>
      <c r="B3" s="28">
        <f>Pages!B1</f>
        <v/>
      </c>
      <c r="C3" s="2" t="n"/>
      <c r="D3" s="2" t="n"/>
      <c r="E3" s="2" t="n"/>
      <c r="F3" s="2" t="n"/>
      <c r="G3" s="2" t="n"/>
      <c r="H3" s="2" t="n"/>
      <c r="I3" s="2" t="n"/>
      <c r="J3" s="2" t="n"/>
      <c r="K3" s="2" t="n"/>
      <c r="L3" s="2" t="n"/>
      <c r="M3" s="2" t="n"/>
      <c r="N3" s="2" t="n"/>
      <c r="O3" s="2" t="n"/>
      <c r="P3" s="2" t="n"/>
      <c r="Q3" s="2" t="n"/>
      <c r="R3" s="2" t="n"/>
      <c r="S3" s="2" t="n"/>
      <c r="T3" s="2" t="n"/>
      <c r="U3" s="2" t="n"/>
      <c r="V3" s="2" t="n"/>
    </row>
    <row r="4">
      <c r="A4" s="27" t="inlineStr">
        <is>
          <t>Total HTML pages listed</t>
        </is>
      </c>
      <c r="B4" s="29">
        <f>COUNTA(Pages!A6:A200)</f>
        <v/>
      </c>
      <c r="C4" s="2" t="n"/>
      <c r="D4" s="2" t="n"/>
      <c r="E4" s="2" t="n"/>
      <c r="F4" s="2" t="n"/>
      <c r="G4" s="2" t="n"/>
      <c r="H4" s="2" t="n"/>
      <c r="I4" s="2" t="n"/>
      <c r="J4" s="2" t="n"/>
      <c r="K4" s="2" t="n"/>
      <c r="L4" s="2" t="n"/>
      <c r="M4" s="2" t="n"/>
      <c r="N4" s="2" t="n"/>
      <c r="O4" s="2" t="n"/>
      <c r="P4" s="2" t="n"/>
      <c r="Q4" s="2" t="n"/>
      <c r="R4" s="2" t="n"/>
      <c r="S4" s="2" t="n"/>
      <c r="T4" s="2" t="n"/>
      <c r="U4" s="2" t="n"/>
      <c r="V4" s="2" t="n"/>
    </row>
    <row r="5">
      <c r="A5" s="27" t="inlineStr">
        <is>
          <t>Book/public ebook pages</t>
        </is>
      </c>
      <c r="B5" s="29">
        <f>COUNTIF(Pages!E6:E200,"Canonical ebook route")+COUNTIF(Pages!E6:E200,"Redirect detail page")</f>
        <v/>
      </c>
      <c r="C5" s="2" t="n"/>
      <c r="D5" s="2" t="n"/>
      <c r="E5" s="2" t="n"/>
      <c r="F5" s="2" t="n"/>
      <c r="G5" s="2" t="n"/>
      <c r="H5" s="2" t="n"/>
      <c r="I5" s="2" t="n"/>
      <c r="J5" s="2" t="n"/>
      <c r="K5" s="2" t="n"/>
      <c r="L5" s="2" t="n"/>
      <c r="M5" s="2" t="n"/>
      <c r="N5" s="2" t="n"/>
      <c r="O5" s="2" t="n"/>
      <c r="P5" s="2" t="n"/>
      <c r="Q5" s="2" t="n"/>
      <c r="R5" s="2" t="n"/>
      <c r="S5" s="2" t="n"/>
      <c r="T5" s="2" t="n"/>
      <c r="U5" s="2" t="n"/>
      <c r="V5" s="2" t="n"/>
    </row>
    <row r="6">
      <c r="A6" s="27" t="inlineStr">
        <is>
          <t>Pages with buy-now URL</t>
        </is>
      </c>
      <c r="B6" s="29">
        <f>COUNTIF(Pages!F6:F200,"&lt;&gt;")</f>
        <v/>
      </c>
      <c r="C6" s="2" t="n"/>
      <c r="D6" s="2" t="n"/>
      <c r="E6" s="2" t="n"/>
      <c r="F6" s="2" t="n"/>
      <c r="G6" s="2" t="n"/>
      <c r="H6" s="2" t="n"/>
      <c r="I6" s="2" t="n"/>
      <c r="J6" s="2" t="n"/>
      <c r="K6" s="2" t="n"/>
      <c r="L6" s="2" t="n"/>
      <c r="M6" s="2" t="n"/>
      <c r="N6" s="2" t="n"/>
      <c r="O6" s="2" t="n"/>
      <c r="P6" s="2" t="n"/>
      <c r="Q6" s="2" t="n"/>
      <c r="R6" s="2" t="n"/>
      <c r="S6" s="2" t="n"/>
      <c r="T6" s="2" t="n"/>
      <c r="U6" s="2" t="n"/>
      <c r="V6" s="2" t="n"/>
    </row>
    <row r="7">
      <c r="A7" s="27" t="inlineStr">
        <is>
          <t>Books with imported metadata</t>
        </is>
      </c>
      <c r="B7" s="29">
        <f>COUNTIF('BuyNow Redirects'!G2:G100,"&lt;&gt;")</f>
        <v/>
      </c>
      <c r="C7" s="2" t="n"/>
      <c r="D7" s="2" t="n"/>
      <c r="E7" s="2" t="n"/>
      <c r="F7" s="2" t="n"/>
      <c r="G7" s="2" t="n"/>
      <c r="H7" s="2" t="n"/>
      <c r="I7" s="2" t="n"/>
      <c r="J7" s="2" t="n"/>
      <c r="K7" s="2" t="n"/>
      <c r="L7" s="2" t="n"/>
      <c r="M7" s="2" t="n"/>
      <c r="N7" s="2" t="n"/>
      <c r="O7" s="2" t="n"/>
      <c r="P7" s="2" t="n"/>
      <c r="Q7" s="2" t="n"/>
      <c r="R7" s="2" t="n"/>
      <c r="S7" s="2" t="n"/>
      <c r="T7" s="2" t="n"/>
      <c r="U7" s="2" t="n"/>
      <c r="V7" s="2" t="n"/>
    </row>
    <row r="8">
      <c r="A8" s="27" t="inlineStr">
        <is>
          <t>Buy-now redirect rules listed</t>
        </is>
      </c>
      <c r="B8" s="29">
        <f>COUNTA('BuyNow Redirects'!A2:A100)</f>
        <v/>
      </c>
      <c r="C8" s="2" t="n"/>
      <c r="D8" s="2" t="n"/>
      <c r="E8" s="2" t="n"/>
      <c r="F8" s="2" t="n"/>
      <c r="G8" s="2" t="n"/>
      <c r="H8" s="2" t="n"/>
      <c r="I8" s="2" t="n"/>
      <c r="J8" s="2" t="n"/>
      <c r="K8" s="2" t="n"/>
      <c r="L8" s="2" t="n"/>
      <c r="M8" s="2" t="n"/>
      <c r="N8" s="2" t="n"/>
      <c r="O8" s="2" t="n"/>
      <c r="P8" s="2" t="n"/>
      <c r="Q8" s="2" t="n"/>
      <c r="R8" s="2" t="n"/>
      <c r="S8" s="2" t="n"/>
      <c r="T8" s="2" t="n"/>
      <c r="U8" s="2" t="n"/>
      <c r="V8" s="2" t="n"/>
    </row>
    <row r="9">
      <c r="A9" s="27" t="inlineStr">
        <is>
          <t>Cover art URLs imported</t>
        </is>
      </c>
      <c r="B9" s="29">
        <f>COUNTIF('BuyNow Redirects'!J2:J100,"&lt;&gt;")</f>
        <v/>
      </c>
      <c r="C9" s="2" t="n"/>
      <c r="D9" s="2" t="n"/>
      <c r="E9" s="2" t="n"/>
      <c r="F9" s="2" t="n"/>
      <c r="G9" s="2" t="n"/>
      <c r="H9" s="2" t="n"/>
      <c r="I9" s="2" t="n"/>
      <c r="J9" s="2" t="n"/>
      <c r="K9" s="2" t="n"/>
      <c r="L9" s="2" t="n"/>
      <c r="M9" s="2" t="n"/>
      <c r="N9" s="2" t="n"/>
      <c r="O9" s="2" t="n"/>
      <c r="P9" s="2" t="n"/>
      <c r="Q9" s="2" t="n"/>
      <c r="R9" s="2" t="n"/>
      <c r="S9" s="2" t="n"/>
      <c r="T9" s="2" t="n"/>
      <c r="U9" s="2" t="n"/>
      <c r="V9" s="2" t="n"/>
    </row>
    <row r="10">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row>
    <row r="11">
      <c r="A11" s="2" t="n"/>
      <c r="B11" s="2" t="n"/>
      <c r="C11" s="2" t="n"/>
      <c r="D11" s="2" t="n"/>
      <c r="E11" s="2" t="n"/>
      <c r="F11" s="2" t="n"/>
      <c r="G11" s="2" t="n"/>
      <c r="H11" s="2" t="n"/>
      <c r="I11" s="2" t="n"/>
      <c r="J11" s="2" t="n"/>
      <c r="K11" s="2" t="n"/>
      <c r="L11" s="2" t="n"/>
      <c r="M11" s="2" t="n"/>
      <c r="N11" s="2" t="n"/>
      <c r="O11" s="2" t="n"/>
      <c r="P11" s="2" t="n"/>
      <c r="Q11" s="2" t="n"/>
      <c r="R11" s="2" t="n"/>
      <c r="S11" s="2" t="n"/>
      <c r="T11" s="2" t="n"/>
      <c r="U11" s="2" t="n"/>
      <c r="V11" s="2" t="n"/>
    </row>
    <row r="12">
      <c r="A12" s="2" t="n"/>
      <c r="B12" s="2" t="n"/>
      <c r="C12" s="2" t="n"/>
      <c r="D12" s="2" t="n"/>
      <c r="E12" s="2" t="n"/>
      <c r="F12" s="2" t="n"/>
      <c r="G12" s="2" t="n"/>
      <c r="H12" s="2" t="n"/>
      <c r="I12" s="2" t="n"/>
      <c r="J12" s="2" t="n"/>
      <c r="K12" s="2" t="n"/>
      <c r="L12" s="2" t="n"/>
      <c r="M12" s="2" t="n"/>
      <c r="N12" s="2" t="n"/>
      <c r="O12" s="2" t="n"/>
      <c r="P12" s="2" t="n"/>
      <c r="Q12" s="2" t="n"/>
      <c r="R12" s="2" t="n"/>
      <c r="S12" s="2" t="n"/>
      <c r="T12" s="2" t="n"/>
      <c r="U12" s="2" t="n"/>
      <c r="V12" s="2" t="n"/>
    </row>
    <row r="13">
      <c r="A13" s="2" t="n"/>
      <c r="B13" s="2" t="n"/>
      <c r="C13" s="2" t="n"/>
      <c r="D13" s="2" t="n"/>
      <c r="E13" s="2" t="n"/>
      <c r="F13" s="2" t="n"/>
      <c r="G13" s="2" t="n"/>
      <c r="H13" s="2" t="n"/>
      <c r="I13" s="2" t="n"/>
      <c r="J13" s="2" t="n"/>
      <c r="K13" s="2" t="n"/>
      <c r="L13" s="2" t="n"/>
      <c r="M13" s="2" t="n"/>
      <c r="N13" s="2" t="n"/>
      <c r="O13" s="2" t="n"/>
      <c r="P13" s="2" t="n"/>
      <c r="Q13" s="2" t="n"/>
      <c r="R13" s="2" t="n"/>
      <c r="S13" s="2" t="n"/>
      <c r="T13" s="2" t="n"/>
      <c r="U13" s="2" t="n"/>
      <c r="V13" s="2" t="n"/>
    </row>
    <row r="14">
      <c r="A14" s="2" t="n"/>
      <c r="B14" s="2" t="n"/>
      <c r="C14" s="2" t="n"/>
      <c r="D14" s="2" t="n"/>
      <c r="E14" s="2" t="n"/>
      <c r="F14" s="2" t="n"/>
      <c r="G14" s="2" t="n"/>
      <c r="H14" s="2" t="n"/>
      <c r="I14" s="2" t="n"/>
      <c r="J14" s="2" t="n"/>
      <c r="K14" s="2" t="n"/>
      <c r="L14" s="2" t="n"/>
      <c r="M14" s="2" t="n"/>
      <c r="N14" s="2" t="n"/>
      <c r="O14" s="2" t="n"/>
      <c r="P14" s="2" t="n"/>
      <c r="Q14" s="2" t="n"/>
      <c r="R14" s="2" t="n"/>
      <c r="S14" s="2" t="n"/>
      <c r="T14" s="2" t="n"/>
      <c r="U14" s="2" t="n"/>
      <c r="V14" s="2" t="n"/>
    </row>
    <row r="15">
      <c r="A15" s="2" t="n"/>
      <c r="B15" s="2" t="n"/>
      <c r="C15" s="2" t="n"/>
      <c r="D15" s="2" t="n"/>
      <c r="E15" s="2" t="n"/>
      <c r="F15" s="2" t="n"/>
      <c r="G15" s="2" t="n"/>
      <c r="H15" s="2" t="n"/>
      <c r="I15" s="2" t="n"/>
      <c r="J15" s="2" t="n"/>
      <c r="K15" s="2" t="n"/>
      <c r="L15" s="2" t="n"/>
      <c r="M15" s="2" t="n"/>
      <c r="N15" s="2" t="n"/>
      <c r="O15" s="2" t="n"/>
      <c r="P15" s="2" t="n"/>
      <c r="Q15" s="2" t="n"/>
      <c r="R15" s="2" t="n"/>
      <c r="S15" s="2" t="n"/>
      <c r="T15" s="2" t="n"/>
      <c r="U15" s="2" t="n"/>
      <c r="V15" s="2" t="n"/>
    </row>
    <row r="16">
      <c r="A16" s="2" t="n"/>
      <c r="B16" s="2" t="n"/>
      <c r="C16" s="2" t="n"/>
      <c r="D16" s="2" t="n"/>
      <c r="E16" s="2" t="n"/>
      <c r="F16" s="2" t="n"/>
      <c r="G16" s="2" t="n"/>
      <c r="H16" s="2" t="n"/>
      <c r="I16" s="2" t="n"/>
      <c r="J16" s="2" t="n"/>
      <c r="K16" s="2" t="n"/>
      <c r="L16" s="2" t="n"/>
      <c r="M16" s="2" t="n"/>
      <c r="N16" s="2" t="n"/>
      <c r="O16" s="2" t="n"/>
      <c r="P16" s="2" t="n"/>
      <c r="Q16" s="2" t="n"/>
      <c r="R16" s="2" t="n"/>
      <c r="S16" s="2" t="n"/>
      <c r="T16" s="2" t="n"/>
      <c r="U16" s="2" t="n"/>
      <c r="V16" s="2" t="n"/>
    </row>
    <row r="17">
      <c r="A17" s="2" t="n"/>
      <c r="B17" s="2" t="n"/>
      <c r="C17" s="2" t="n"/>
      <c r="D17" s="2" t="n"/>
      <c r="E17" s="2" t="n"/>
      <c r="F17" s="2" t="n"/>
      <c r="G17" s="2" t="n"/>
      <c r="H17" s="2" t="n"/>
      <c r="I17" s="2" t="n"/>
      <c r="J17" s="2" t="n"/>
      <c r="K17" s="2" t="n"/>
      <c r="L17" s="2" t="n"/>
      <c r="M17" s="2" t="n"/>
      <c r="N17" s="2" t="n"/>
      <c r="O17" s="2" t="n"/>
      <c r="P17" s="2" t="n"/>
      <c r="Q17" s="2" t="n"/>
      <c r="R17" s="2" t="n"/>
      <c r="S17" s="2" t="n"/>
      <c r="T17" s="2" t="n"/>
      <c r="U17" s="2" t="n"/>
      <c r="V17" s="2" t="n"/>
    </row>
    <row r="18">
      <c r="A18" s="2" t="n"/>
      <c r="B18" s="2" t="n"/>
      <c r="C18" s="2" t="n"/>
      <c r="D18" s="2" t="n"/>
      <c r="E18" s="2" t="n"/>
      <c r="F18" s="2" t="n"/>
      <c r="G18" s="2" t="n"/>
      <c r="H18" s="2" t="n"/>
      <c r="I18" s="2" t="n"/>
      <c r="J18" s="2" t="n"/>
      <c r="K18" s="2" t="n"/>
      <c r="L18" s="2" t="n"/>
      <c r="M18" s="2" t="n"/>
      <c r="N18" s="2" t="n"/>
      <c r="O18" s="2" t="n"/>
      <c r="P18" s="2" t="n"/>
      <c r="Q18" s="2" t="n"/>
      <c r="R18" s="2" t="n"/>
      <c r="S18" s="2" t="n"/>
      <c r="T18" s="2" t="n"/>
      <c r="U18" s="2" t="n"/>
      <c r="V18" s="2" t="n"/>
    </row>
    <row r="19">
      <c r="A19" s="2" t="n"/>
      <c r="B19" s="2" t="n"/>
      <c r="C19" s="2" t="n"/>
      <c r="D19" s="2" t="n"/>
      <c r="E19" s="2" t="n"/>
      <c r="F19" s="2" t="n"/>
      <c r="G19" s="2" t="n"/>
      <c r="H19" s="2" t="n"/>
      <c r="I19" s="2" t="n"/>
      <c r="J19" s="2" t="n"/>
      <c r="K19" s="2" t="n"/>
      <c r="L19" s="2" t="n"/>
      <c r="M19" s="2" t="n"/>
      <c r="N19" s="2" t="n"/>
      <c r="O19" s="2" t="n"/>
      <c r="P19" s="2" t="n"/>
      <c r="Q19" s="2" t="n"/>
      <c r="R19" s="2" t="n"/>
      <c r="S19" s="2" t="n"/>
      <c r="T19" s="2" t="n"/>
      <c r="U19" s="2" t="n"/>
      <c r="V19" s="2" t="n"/>
    </row>
    <row r="20">
      <c r="A20" s="2" t="n"/>
      <c r="B20" s="2" t="n"/>
      <c r="C20" s="2" t="n"/>
      <c r="D20" s="2" t="n"/>
      <c r="E20" s="2" t="n"/>
      <c r="F20" s="2" t="n"/>
      <c r="G20" s="2" t="n"/>
      <c r="H20" s="2" t="n"/>
      <c r="I20" s="2" t="n"/>
      <c r="J20" s="2" t="n"/>
      <c r="K20" s="2" t="n"/>
      <c r="L20" s="2" t="n"/>
      <c r="M20" s="2" t="n"/>
      <c r="N20" s="2" t="n"/>
      <c r="O20" s="2" t="n"/>
      <c r="P20" s="2" t="n"/>
      <c r="Q20" s="2" t="n"/>
      <c r="R20" s="2" t="n"/>
      <c r="S20" s="2" t="n"/>
      <c r="T20" s="2" t="n"/>
      <c r="U20" s="2" t="n"/>
      <c r="V20" s="2" t="n"/>
    </row>
    <row r="21" ht="15.75" customHeight="1" s="37">
      <c r="A21" s="2" t="n"/>
      <c r="B21" s="2" t="n"/>
      <c r="C21" s="2" t="n"/>
      <c r="D21" s="2" t="n"/>
      <c r="E21" s="2" t="n"/>
      <c r="F21" s="2" t="n"/>
      <c r="G21" s="2" t="n"/>
      <c r="H21" s="2" t="n"/>
      <c r="I21" s="2" t="n"/>
      <c r="J21" s="2" t="n"/>
      <c r="K21" s="2" t="n"/>
      <c r="L21" s="2" t="n"/>
      <c r="M21" s="2" t="n"/>
      <c r="N21" s="2" t="n"/>
      <c r="O21" s="2" t="n"/>
      <c r="P21" s="2" t="n"/>
      <c r="Q21" s="2" t="n"/>
      <c r="R21" s="2" t="n"/>
      <c r="S21" s="2" t="n"/>
      <c r="T21" s="2" t="n"/>
      <c r="U21" s="2" t="n"/>
      <c r="V21" s="2" t="n"/>
    </row>
    <row r="22" ht="15.75" customHeight="1" s="37">
      <c r="A22" s="2" t="n"/>
      <c r="B22" s="2" t="n"/>
      <c r="C22" s="2" t="n"/>
      <c r="D22" s="2" t="n"/>
      <c r="E22" s="2" t="n"/>
      <c r="F22" s="2" t="n"/>
      <c r="G22" s="2" t="n"/>
      <c r="H22" s="2" t="n"/>
      <c r="I22" s="2" t="n"/>
      <c r="J22" s="2" t="n"/>
      <c r="K22" s="2" t="n"/>
      <c r="L22" s="2" t="n"/>
      <c r="M22" s="2" t="n"/>
      <c r="N22" s="2" t="n"/>
      <c r="O22" s="2" t="n"/>
      <c r="P22" s="2" t="n"/>
      <c r="Q22" s="2" t="n"/>
      <c r="R22" s="2" t="n"/>
      <c r="S22" s="2" t="n"/>
      <c r="T22" s="2" t="n"/>
      <c r="U22" s="2" t="n"/>
      <c r="V22" s="2" t="n"/>
    </row>
    <row r="23" ht="15.75" customHeight="1" s="37">
      <c r="A23" s="2" t="n"/>
      <c r="B23" s="2" t="n"/>
      <c r="C23" s="2" t="n"/>
      <c r="D23" s="2" t="n"/>
      <c r="E23" s="2" t="n"/>
      <c r="F23" s="2" t="n"/>
      <c r="G23" s="2" t="n"/>
      <c r="H23" s="2" t="n"/>
      <c r="I23" s="2" t="n"/>
      <c r="J23" s="2" t="n"/>
      <c r="K23" s="2" t="n"/>
      <c r="L23" s="2" t="n"/>
      <c r="M23" s="2" t="n"/>
      <c r="N23" s="2" t="n"/>
      <c r="O23" s="2" t="n"/>
      <c r="P23" s="2" t="n"/>
      <c r="Q23" s="2" t="n"/>
      <c r="R23" s="2" t="n"/>
      <c r="S23" s="2" t="n"/>
      <c r="T23" s="2" t="n"/>
      <c r="U23" s="2" t="n"/>
      <c r="V23" s="2" t="n"/>
    </row>
    <row r="24" ht="15.75" customHeight="1" s="37">
      <c r="A24" s="2" t="n"/>
      <c r="B24" s="2" t="n"/>
      <c r="C24" s="2" t="n"/>
      <c r="D24" s="2" t="n"/>
      <c r="E24" s="2" t="n"/>
      <c r="F24" s="2" t="n"/>
      <c r="G24" s="2" t="n"/>
      <c r="H24" s="2" t="n"/>
      <c r="I24" s="2" t="n"/>
      <c r="J24" s="2" t="n"/>
      <c r="K24" s="2" t="n"/>
      <c r="L24" s="2" t="n"/>
      <c r="M24" s="2" t="n"/>
      <c r="N24" s="2" t="n"/>
      <c r="O24" s="2" t="n"/>
      <c r="P24" s="2" t="n"/>
      <c r="Q24" s="2" t="n"/>
      <c r="R24" s="2" t="n"/>
      <c r="S24" s="2" t="n"/>
      <c r="T24" s="2" t="n"/>
      <c r="U24" s="2" t="n"/>
      <c r="V24" s="2" t="n"/>
    </row>
    <row r="25" ht="15.75" customHeight="1" s="37">
      <c r="A25" s="2" t="n"/>
      <c r="B25" s="2" t="n"/>
      <c r="C25" s="2" t="n"/>
      <c r="D25" s="2" t="n"/>
      <c r="E25" s="2" t="n"/>
      <c r="F25" s="2" t="n"/>
      <c r="G25" s="2" t="n"/>
      <c r="H25" s="2" t="n"/>
      <c r="I25" s="2" t="n"/>
      <c r="J25" s="2" t="n"/>
      <c r="K25" s="2" t="n"/>
      <c r="L25" s="2" t="n"/>
      <c r="M25" s="2" t="n"/>
      <c r="N25" s="2" t="n"/>
      <c r="O25" s="2" t="n"/>
      <c r="P25" s="2" t="n"/>
      <c r="Q25" s="2" t="n"/>
      <c r="R25" s="2" t="n"/>
      <c r="S25" s="2" t="n"/>
      <c r="T25" s="2" t="n"/>
      <c r="U25" s="2" t="n"/>
      <c r="V25" s="2" t="n"/>
    </row>
    <row r="26" ht="15.75" customHeight="1" s="37">
      <c r="A26" s="2" t="n"/>
      <c r="B26" s="2" t="n"/>
      <c r="C26" s="2" t="n"/>
      <c r="D26" s="2" t="n"/>
      <c r="E26" s="2" t="n"/>
      <c r="F26" s="2" t="n"/>
      <c r="G26" s="2" t="n"/>
      <c r="H26" s="2" t="n"/>
      <c r="I26" s="2" t="n"/>
      <c r="J26" s="2" t="n"/>
      <c r="K26" s="2" t="n"/>
      <c r="L26" s="2" t="n"/>
      <c r="M26" s="2" t="n"/>
      <c r="N26" s="2" t="n"/>
      <c r="O26" s="2" t="n"/>
      <c r="P26" s="2" t="n"/>
      <c r="Q26" s="2" t="n"/>
      <c r="R26" s="2" t="n"/>
      <c r="S26" s="2" t="n"/>
      <c r="T26" s="2" t="n"/>
      <c r="U26" s="2" t="n"/>
      <c r="V26" s="2" t="n"/>
    </row>
    <row r="27" ht="15.75" customHeight="1" s="37">
      <c r="A27" s="2" t="n"/>
      <c r="B27" s="2" t="n"/>
      <c r="C27" s="2" t="n"/>
      <c r="D27" s="2" t="n"/>
      <c r="E27" s="2" t="n"/>
      <c r="F27" s="2" t="n"/>
      <c r="G27" s="2" t="n"/>
      <c r="H27" s="2" t="n"/>
      <c r="I27" s="2" t="n"/>
      <c r="J27" s="2" t="n"/>
      <c r="K27" s="2" t="n"/>
      <c r="L27" s="2" t="n"/>
      <c r="M27" s="2" t="n"/>
      <c r="N27" s="2" t="n"/>
      <c r="O27" s="2" t="n"/>
      <c r="P27" s="2" t="n"/>
      <c r="Q27" s="2" t="n"/>
      <c r="R27" s="2" t="n"/>
      <c r="S27" s="2" t="n"/>
      <c r="T27" s="2" t="n"/>
      <c r="U27" s="2" t="n"/>
      <c r="V27" s="2" t="n"/>
    </row>
    <row r="28" ht="15.75" customHeight="1" s="37">
      <c r="A28" s="2" t="n"/>
      <c r="B28" s="2" t="n"/>
      <c r="C28" s="2" t="n"/>
      <c r="D28" s="2" t="n"/>
      <c r="E28" s="2" t="n"/>
      <c r="F28" s="2" t="n"/>
      <c r="G28" s="2" t="n"/>
      <c r="H28" s="2" t="n"/>
      <c r="I28" s="2" t="n"/>
      <c r="J28" s="2" t="n"/>
      <c r="K28" s="2" t="n"/>
      <c r="L28" s="2" t="n"/>
      <c r="M28" s="2" t="n"/>
      <c r="N28" s="2" t="n"/>
      <c r="O28" s="2" t="n"/>
      <c r="P28" s="2" t="n"/>
      <c r="Q28" s="2" t="n"/>
      <c r="R28" s="2" t="n"/>
      <c r="S28" s="2" t="n"/>
      <c r="T28" s="2" t="n"/>
      <c r="U28" s="2" t="n"/>
      <c r="V28" s="2" t="n"/>
    </row>
    <row r="29" ht="15.75" customHeight="1" s="37">
      <c r="A29" s="2" t="n"/>
      <c r="B29" s="2" t="n"/>
      <c r="C29" s="2" t="n"/>
      <c r="D29" s="2" t="n"/>
      <c r="E29" s="2" t="n"/>
      <c r="F29" s="2" t="n"/>
      <c r="G29" s="2" t="n"/>
      <c r="H29" s="2" t="n"/>
      <c r="I29" s="2" t="n"/>
      <c r="J29" s="2" t="n"/>
      <c r="K29" s="2" t="n"/>
      <c r="L29" s="2" t="n"/>
      <c r="M29" s="2" t="n"/>
      <c r="N29" s="2" t="n"/>
      <c r="O29" s="2" t="n"/>
      <c r="P29" s="2" t="n"/>
      <c r="Q29" s="2" t="n"/>
      <c r="R29" s="2" t="n"/>
      <c r="S29" s="2" t="n"/>
      <c r="T29" s="2" t="n"/>
      <c r="U29" s="2" t="n"/>
      <c r="V29" s="2" t="n"/>
    </row>
    <row r="30" ht="15.75" customHeight="1" s="37">
      <c r="A30" s="2" t="n"/>
      <c r="B30" s="2" t="n"/>
      <c r="C30" s="2" t="n"/>
      <c r="D30" s="2" t="n"/>
      <c r="E30" s="2" t="n"/>
      <c r="F30" s="2" t="n"/>
      <c r="G30" s="2" t="n"/>
      <c r="H30" s="2" t="n"/>
      <c r="I30" s="2" t="n"/>
      <c r="J30" s="2" t="n"/>
      <c r="K30" s="2" t="n"/>
      <c r="L30" s="2" t="n"/>
      <c r="M30" s="2" t="n"/>
      <c r="N30" s="2" t="n"/>
      <c r="O30" s="2" t="n"/>
      <c r="P30" s="2" t="n"/>
      <c r="Q30" s="2" t="n"/>
      <c r="R30" s="2" t="n"/>
      <c r="S30" s="2" t="n"/>
      <c r="T30" s="2" t="n"/>
      <c r="U30" s="2" t="n"/>
      <c r="V30" s="2" t="n"/>
    </row>
    <row r="31" ht="15.75" customHeight="1" s="37">
      <c r="A31" s="2" t="n"/>
      <c r="B31" s="2" t="n"/>
      <c r="C31" s="2" t="n"/>
      <c r="D31" s="2" t="n"/>
      <c r="E31" s="2" t="n"/>
      <c r="F31" s="2" t="n"/>
      <c r="G31" s="2" t="n"/>
      <c r="H31" s="2" t="n"/>
      <c r="I31" s="2" t="n"/>
      <c r="J31" s="2" t="n"/>
      <c r="K31" s="2" t="n"/>
      <c r="L31" s="2" t="n"/>
      <c r="M31" s="2" t="n"/>
      <c r="N31" s="2" t="n"/>
      <c r="O31" s="2" t="n"/>
      <c r="P31" s="2" t="n"/>
      <c r="Q31" s="2" t="n"/>
      <c r="R31" s="2" t="n"/>
      <c r="S31" s="2" t="n"/>
      <c r="T31" s="2" t="n"/>
      <c r="U31" s="2" t="n"/>
      <c r="V31" s="2" t="n"/>
    </row>
    <row r="32" ht="15.75" customHeight="1" s="37">
      <c r="A32" s="2" t="n"/>
      <c r="B32" s="2" t="n"/>
      <c r="C32" s="2" t="n"/>
      <c r="D32" s="2" t="n"/>
      <c r="E32" s="2" t="n"/>
      <c r="F32" s="2" t="n"/>
      <c r="G32" s="2" t="n"/>
      <c r="H32" s="2" t="n"/>
      <c r="I32" s="2" t="n"/>
      <c r="J32" s="2" t="n"/>
      <c r="K32" s="2" t="n"/>
      <c r="L32" s="2" t="n"/>
      <c r="M32" s="2" t="n"/>
      <c r="N32" s="2" t="n"/>
      <c r="O32" s="2" t="n"/>
      <c r="P32" s="2" t="n"/>
      <c r="Q32" s="2" t="n"/>
      <c r="R32" s="2" t="n"/>
      <c r="S32" s="2" t="n"/>
      <c r="T32" s="2" t="n"/>
      <c r="U32" s="2" t="n"/>
      <c r="V32" s="2" t="n"/>
    </row>
    <row r="33" ht="15.75" customHeight="1" s="37">
      <c r="A33" s="2" t="n"/>
      <c r="B33" s="2" t="n"/>
      <c r="C33" s="2" t="n"/>
      <c r="D33" s="2" t="n"/>
      <c r="E33" s="2" t="n"/>
      <c r="F33" s="2" t="n"/>
      <c r="G33" s="2" t="n"/>
      <c r="H33" s="2" t="n"/>
      <c r="I33" s="2" t="n"/>
      <c r="J33" s="2" t="n"/>
      <c r="K33" s="2" t="n"/>
      <c r="L33" s="2" t="n"/>
      <c r="M33" s="2" t="n"/>
      <c r="N33" s="2" t="n"/>
      <c r="O33" s="2" t="n"/>
      <c r="P33" s="2" t="n"/>
      <c r="Q33" s="2" t="n"/>
      <c r="R33" s="2" t="n"/>
      <c r="S33" s="2" t="n"/>
      <c r="T33" s="2" t="n"/>
      <c r="U33" s="2" t="n"/>
      <c r="V33" s="2" t="n"/>
    </row>
    <row r="34" ht="15.75" customHeight="1" s="37">
      <c r="A34" s="2" t="n"/>
      <c r="B34" s="2" t="n"/>
      <c r="C34" s="2" t="n"/>
      <c r="D34" s="2" t="n"/>
      <c r="E34" s="2" t="n"/>
      <c r="F34" s="2" t="n"/>
      <c r="G34" s="2" t="n"/>
      <c r="H34" s="2" t="n"/>
      <c r="I34" s="2" t="n"/>
      <c r="J34" s="2" t="n"/>
      <c r="K34" s="2" t="n"/>
      <c r="L34" s="2" t="n"/>
      <c r="M34" s="2" t="n"/>
      <c r="N34" s="2" t="n"/>
      <c r="O34" s="2" t="n"/>
      <c r="P34" s="2" t="n"/>
      <c r="Q34" s="2" t="n"/>
      <c r="R34" s="2" t="n"/>
      <c r="S34" s="2" t="n"/>
      <c r="T34" s="2" t="n"/>
      <c r="U34" s="2" t="n"/>
      <c r="V34" s="2" t="n"/>
    </row>
    <row r="35" ht="15.75" customHeight="1" s="37">
      <c r="A35" s="2" t="n"/>
      <c r="B35" s="2" t="n"/>
      <c r="C35" s="2" t="n"/>
      <c r="D35" s="2" t="n"/>
      <c r="E35" s="2" t="n"/>
      <c r="F35" s="2" t="n"/>
      <c r="G35" s="2" t="n"/>
      <c r="H35" s="2" t="n"/>
      <c r="I35" s="2" t="n"/>
      <c r="J35" s="2" t="n"/>
      <c r="K35" s="2" t="n"/>
      <c r="L35" s="2" t="n"/>
      <c r="M35" s="2" t="n"/>
      <c r="N35" s="2" t="n"/>
      <c r="O35" s="2" t="n"/>
      <c r="P35" s="2" t="n"/>
      <c r="Q35" s="2" t="n"/>
      <c r="R35" s="2" t="n"/>
      <c r="S35" s="2" t="n"/>
      <c r="T35" s="2" t="n"/>
      <c r="U35" s="2" t="n"/>
      <c r="V35" s="2" t="n"/>
    </row>
    <row r="36" ht="15.75" customHeight="1" s="37">
      <c r="A36" s="2" t="n"/>
      <c r="B36" s="2" t="n"/>
      <c r="C36" s="2" t="n"/>
      <c r="D36" s="2" t="n"/>
      <c r="E36" s="2" t="n"/>
      <c r="F36" s="2" t="n"/>
      <c r="G36" s="2" t="n"/>
      <c r="H36" s="2" t="n"/>
      <c r="I36" s="2" t="n"/>
      <c r="J36" s="2" t="n"/>
      <c r="K36" s="2" t="n"/>
      <c r="L36" s="2" t="n"/>
      <c r="M36" s="2" t="n"/>
      <c r="N36" s="2" t="n"/>
      <c r="O36" s="2" t="n"/>
      <c r="P36" s="2" t="n"/>
      <c r="Q36" s="2" t="n"/>
      <c r="R36" s="2" t="n"/>
      <c r="S36" s="2" t="n"/>
      <c r="T36" s="2" t="n"/>
      <c r="U36" s="2" t="n"/>
      <c r="V36" s="2" t="n"/>
    </row>
    <row r="37" ht="15.75" customHeight="1" s="37">
      <c r="A37" s="2" t="n"/>
      <c r="B37" s="2" t="n"/>
      <c r="C37" s="2" t="n"/>
      <c r="D37" s="2" t="n"/>
      <c r="E37" s="2" t="n"/>
      <c r="F37" s="2" t="n"/>
      <c r="G37" s="2" t="n"/>
      <c r="H37" s="2" t="n"/>
      <c r="I37" s="2" t="n"/>
      <c r="J37" s="2" t="n"/>
      <c r="K37" s="2" t="n"/>
      <c r="L37" s="2" t="n"/>
      <c r="M37" s="2" t="n"/>
      <c r="N37" s="2" t="n"/>
      <c r="O37" s="2" t="n"/>
      <c r="P37" s="2" t="n"/>
      <c r="Q37" s="2" t="n"/>
      <c r="R37" s="2" t="n"/>
      <c r="S37" s="2" t="n"/>
      <c r="T37" s="2" t="n"/>
      <c r="U37" s="2" t="n"/>
      <c r="V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237"/>
  <sheetViews>
    <sheetView workbookViewId="0">
      <selection activeCell="A1" sqref="A1"/>
    </sheetView>
  </sheetViews>
  <sheetFormatPr baseColWidth="8" defaultColWidth="12.63" defaultRowHeight="15" customHeight="1"/>
  <cols>
    <col width="31.5" customWidth="1" style="37" min="1" max="1"/>
    <col width="50.75" customWidth="1" style="37" min="2" max="3"/>
    <col width="21" customWidth="1" style="37" min="4" max="4"/>
    <col width="50.75" customWidth="1" style="37" min="5" max="5"/>
    <col width="42" customWidth="1" style="37" min="6" max="6"/>
    <col width="14" customWidth="1" style="37" min="7" max="7"/>
    <col width="8.75" customWidth="1" style="37" min="8" max="8"/>
    <col width="14" customWidth="1" style="37" min="9" max="9"/>
    <col width="50.75" customWidth="1" style="37" min="10" max="10"/>
  </cols>
  <sheetData>
    <row r="1">
      <c r="A1" s="30" t="inlineStr">
        <is>
          <t>Slug</t>
        </is>
      </c>
      <c r="B1" s="30" t="inlineStr">
        <is>
          <t>Book URL</t>
        </is>
      </c>
      <c r="C1" s="30" t="inlineStr">
        <is>
          <t>Buy now URL</t>
        </is>
      </c>
      <c r="D1" s="30" t="inlineStr">
        <is>
          <t>Redirect URL</t>
        </is>
      </c>
      <c r="E1" s="30" t="inlineStr">
        <is>
          <t>Legacy alias URL</t>
        </is>
      </c>
      <c r="F1" s="30" t="inlineStr">
        <is>
          <t>Notes</t>
        </is>
      </c>
      <c r="G1" s="30" t="inlineStr">
        <is>
          <t>ASIN</t>
        </is>
      </c>
      <c r="H1" s="30" t="inlineStr">
        <is>
          <t>Amazon ebook page count</t>
        </is>
      </c>
      <c r="I1" s="30" t="inlineStr">
        <is>
          <t>Publication date</t>
        </is>
      </c>
      <c r="J1" s="30" t="inlineStr">
        <is>
          <t>Cover art URL</t>
        </is>
      </c>
      <c r="K1" s="2" t="n"/>
      <c r="L1" s="2" t="n"/>
      <c r="M1" s="2" t="n"/>
      <c r="N1" s="2" t="n"/>
      <c r="O1" s="2" t="n"/>
      <c r="P1" s="2" t="n"/>
      <c r="Q1" s="2" t="n"/>
      <c r="R1" s="2" t="n"/>
      <c r="S1" s="2" t="n"/>
      <c r="T1" s="2" t="n"/>
      <c r="U1" s="2" t="n"/>
      <c r="V1" s="2" t="n"/>
      <c r="W1" s="2" t="n"/>
      <c r="X1" s="2" t="n"/>
      <c r="Y1" s="2" t="n"/>
      <c r="Z1" s="2" t="n"/>
    </row>
    <row r="2">
      <c r="A2" s="31" t="inlineStr">
        <is>
          <t>ai-and-formula-1-redefining-speed-and-strategy-with-intelligent-technology</t>
        </is>
      </c>
      <c r="B2" s="32" t="inlineStr">
        <is>
          <t>https://jonathan-harris.online/ebooks/ai-and-formula-1-redefining-speed-and-strategy-with-intelligent-technology/</t>
        </is>
      </c>
      <c r="C2" s="32" t="inlineStr">
        <is>
          <t>https://jonathan-harris.online/ebooks/ai-and-formula-1-redefining-speed-and-strategy-with-intelligent-technology/buy-now</t>
        </is>
      </c>
      <c r="D2" s="32" t="inlineStr">
        <is>
          <t>https://mybook.to/Gi93rOF</t>
        </is>
      </c>
      <c r="E2" s="32" t="inlineStr">
        <is>
          <t>https://jonathan-harris.online/book/ai-and-formula-1-redefining-speed-and-strategy-with-intelligent-technology/buy-now</t>
        </is>
      </c>
      <c r="F2" s="31" t="n"/>
      <c r="G2" s="31" t="inlineStr">
        <is>
          <t>B0DQHSD858</t>
        </is>
      </c>
      <c r="H2" s="33" t="n">
        <v>227</v>
      </c>
      <c r="I2" s="34" t="n">
        <v>45640</v>
      </c>
      <c r="J2" s="32" t="inlineStr">
        <is>
          <t>https://images.jonathan-harris.online/ai-formula-speed-webp</t>
        </is>
      </c>
      <c r="K2" s="2" t="n"/>
      <c r="L2" s="2" t="n"/>
      <c r="M2" s="2" t="n"/>
      <c r="N2" s="2" t="n"/>
      <c r="O2" s="2" t="n"/>
      <c r="P2" s="2" t="n"/>
      <c r="Q2" s="2" t="n"/>
      <c r="R2" s="2" t="n"/>
      <c r="S2" s="2" t="n"/>
      <c r="T2" s="2" t="n"/>
      <c r="U2" s="2" t="n"/>
      <c r="V2" s="2" t="n"/>
      <c r="W2" s="2" t="n"/>
      <c r="X2" s="2" t="n"/>
      <c r="Y2" s="2" t="n"/>
      <c r="Z2" s="2" t="n"/>
    </row>
    <row r="3">
      <c r="A3" s="31" t="inlineStr">
        <is>
          <t>ai-in-agriculture-revolutionizing-farming-for-a-sustainable-future</t>
        </is>
      </c>
      <c r="B3" s="32" t="inlineStr">
        <is>
          <t>https://jonathan-harris.online/ebooks/ai-in-agriculture-revolutionizing-farming-for-a-sustainable-future/</t>
        </is>
      </c>
      <c r="C3" s="32" t="inlineStr">
        <is>
          <t>https://jonathan-harris.online/ebooks/ai-in-agriculture-revolutionizing-farming-for-a-sustainable-future/buy-now</t>
        </is>
      </c>
      <c r="D3" s="32" t="inlineStr">
        <is>
          <t>https://mybook.to/PsciMD5</t>
        </is>
      </c>
      <c r="E3" s="32" t="inlineStr">
        <is>
          <t>https://jonathan-harris.online/book/ai-in-agriculture-revolutionizing-farming-for-a-sustainable-future/buy-now</t>
        </is>
      </c>
      <c r="F3" s="31" t="n"/>
      <c r="G3" s="31" t="inlineStr">
        <is>
          <t>B0DMN32J3Y</t>
        </is>
      </c>
      <c r="H3" s="33" t="n">
        <v>330</v>
      </c>
      <c r="I3" s="34" t="n">
        <v>45606</v>
      </c>
      <c r="J3" s="32" t="inlineStr">
        <is>
          <t>https://images.jonathan-harris.online/ai-agriculture-farming-sustainable-webp</t>
        </is>
      </c>
      <c r="K3" s="2" t="n"/>
      <c r="L3" s="2" t="n"/>
      <c r="M3" s="2" t="n"/>
      <c r="N3" s="2" t="n"/>
      <c r="O3" s="2" t="n"/>
      <c r="P3" s="2" t="n"/>
      <c r="Q3" s="2" t="n"/>
      <c r="R3" s="2" t="n"/>
      <c r="S3" s="2" t="n"/>
      <c r="T3" s="2" t="n"/>
      <c r="U3" s="2" t="n"/>
      <c r="V3" s="2" t="n"/>
      <c r="W3" s="2" t="n"/>
      <c r="X3" s="2" t="n"/>
      <c r="Y3" s="2" t="n"/>
      <c r="Z3" s="2" t="n"/>
    </row>
    <row r="4">
      <c r="A4" s="31" t="inlineStr">
        <is>
          <t>ai-in-aviation-transforming-safety-and-sustainability</t>
        </is>
      </c>
      <c r="B4" s="32" t="inlineStr">
        <is>
          <t>https://jonathan-harris.online/ebooks/ai-in-aviation-transforming-safety-and-sustainability/</t>
        </is>
      </c>
      <c r="C4" s="32" t="inlineStr">
        <is>
          <t>https://jonathan-harris.online/ebooks/ai-in-aviation-transforming-safety-and-sustainability/buy-now</t>
        </is>
      </c>
      <c r="D4" s="32" t="inlineStr">
        <is>
          <t>https://mybook.to/13VF</t>
        </is>
      </c>
      <c r="E4" s="32" t="inlineStr">
        <is>
          <t>https://jonathan-harris.online/book/ai-in-aviation-transforming-safety-and-sustainability/buy-now</t>
        </is>
      </c>
      <c r="F4" s="31" t="n"/>
      <c r="G4" s="31" t="inlineStr">
        <is>
          <t>B0DMKTLMX6</t>
        </is>
      </c>
      <c r="H4" s="33" t="n">
        <v>284</v>
      </c>
      <c r="I4" s="34" t="n">
        <v>45605</v>
      </c>
      <c r="J4" s="32" t="inlineStr">
        <is>
          <t>https://images.jonathan-harris.online/ai-aviation-safety-webp</t>
        </is>
      </c>
      <c r="K4" s="2" t="n"/>
      <c r="L4" s="2" t="n"/>
      <c r="M4" s="2" t="n"/>
      <c r="N4" s="2" t="n"/>
      <c r="O4" s="2" t="n"/>
      <c r="P4" s="2" t="n"/>
      <c r="Q4" s="2" t="n"/>
      <c r="R4" s="2" t="n"/>
      <c r="S4" s="2" t="n"/>
      <c r="T4" s="2" t="n"/>
      <c r="U4" s="2" t="n"/>
      <c r="V4" s="2" t="n"/>
      <c r="W4" s="2" t="n"/>
      <c r="X4" s="2" t="n"/>
      <c r="Y4" s="2" t="n"/>
      <c r="Z4" s="2" t="n"/>
    </row>
    <row r="5">
      <c r="A5" s="31" t="inlineStr">
        <is>
          <t>ai-in-education-reimagining-learning-for-every-student</t>
        </is>
      </c>
      <c r="B5" s="32" t="inlineStr">
        <is>
          <t>https://jonathan-harris.online/ebooks/ai-in-education-reimagining-learning-for-every-student/</t>
        </is>
      </c>
      <c r="C5" s="32" t="inlineStr">
        <is>
          <t>https://jonathan-harris.online/ebooks/ai-in-education-reimagining-learning-for-every-student/buy-now</t>
        </is>
      </c>
      <c r="D5" s="32" t="inlineStr">
        <is>
          <t>https://mybook.to/Ldhe41</t>
        </is>
      </c>
      <c r="E5" s="32" t="inlineStr">
        <is>
          <t>https://jonathan-harris.online/book/ai-in-education-reimagining-learning-for-every-student/buy-now</t>
        </is>
      </c>
      <c r="F5" s="31" t="n"/>
      <c r="G5" s="31" t="inlineStr">
        <is>
          <t>B0DMKXWQDK</t>
        </is>
      </c>
      <c r="H5" s="33" t="n">
        <v>323</v>
      </c>
      <c r="I5" s="34" t="n">
        <v>45605</v>
      </c>
      <c r="J5" s="32" t="inlineStr">
        <is>
          <t>https://images.jonathan-harris.online/ai-education-reimagining-learning-webp</t>
        </is>
      </c>
      <c r="K5" s="2" t="n"/>
      <c r="L5" s="2" t="n"/>
      <c r="M5" s="2" t="n"/>
      <c r="N5" s="2" t="n"/>
      <c r="O5" s="2" t="n"/>
      <c r="P5" s="2" t="n"/>
      <c r="Q5" s="2" t="n"/>
      <c r="R5" s="2" t="n"/>
      <c r="S5" s="2" t="n"/>
      <c r="T5" s="2" t="n"/>
      <c r="U5" s="2" t="n"/>
      <c r="V5" s="2" t="n"/>
      <c r="W5" s="2" t="n"/>
      <c r="X5" s="2" t="n"/>
      <c r="Y5" s="2" t="n"/>
      <c r="Z5" s="2" t="n"/>
    </row>
    <row r="6">
      <c r="A6" s="31" t="inlineStr">
        <is>
          <t>ai-in-maritime-revolutionizing-shipping-for-sustainability</t>
        </is>
      </c>
      <c r="B6" s="32" t="inlineStr">
        <is>
          <t>https://jonathan-harris.online/ebooks/ai-in-maritime-revolutionizing-shipping-for-sustainability/</t>
        </is>
      </c>
      <c r="C6" s="32" t="inlineStr">
        <is>
          <t>https://jonathan-harris.online/ebooks/ai-in-maritime-revolutionizing-shipping-for-sustainability/buy-now</t>
        </is>
      </c>
      <c r="D6" s="32" t="inlineStr">
        <is>
          <t>https://mybook.to/yANzV8</t>
        </is>
      </c>
      <c r="E6" s="32" t="inlineStr">
        <is>
          <t>https://jonathan-harris.online/book/ai-in-maritime-revolutionizing-shipping-for-sustainability/buy-now</t>
        </is>
      </c>
      <c r="F6" s="31" t="n"/>
      <c r="G6" s="31" t="inlineStr">
        <is>
          <t>B0DMMTGNDJ</t>
        </is>
      </c>
      <c r="H6" s="33" t="n">
        <v>312</v>
      </c>
      <c r="I6" s="34" t="n">
        <v>45606</v>
      </c>
      <c r="J6" s="32" t="inlineStr">
        <is>
          <t>https://images.jonathan-harris.online/ai-maritime-shipping-webp</t>
        </is>
      </c>
      <c r="K6" s="2" t="n"/>
      <c r="L6" s="2" t="n"/>
      <c r="M6" s="2" t="n"/>
      <c r="N6" s="2" t="n"/>
      <c r="O6" s="2" t="n"/>
      <c r="P6" s="2" t="n"/>
      <c r="Q6" s="2" t="n"/>
      <c r="R6" s="2" t="n"/>
      <c r="S6" s="2" t="n"/>
      <c r="T6" s="2" t="n"/>
      <c r="U6" s="2" t="n"/>
      <c r="V6" s="2" t="n"/>
      <c r="W6" s="2" t="n"/>
      <c r="X6" s="2" t="n"/>
      <c r="Y6" s="2" t="n"/>
      <c r="Z6" s="2" t="n"/>
    </row>
    <row r="7">
      <c r="A7" s="31" t="inlineStr">
        <is>
          <t>ai-powered-smart-grid-revolutionizing-electricity-distribution-and-generation</t>
        </is>
      </c>
      <c r="B7" s="32" t="inlineStr">
        <is>
          <t>https://jonathan-harris.online/ebooks/ai-powered-smart-grid-revolutionizing-electricity-distribution-and-generation/</t>
        </is>
      </c>
      <c r="C7" s="32" t="inlineStr">
        <is>
          <t>https://jonathan-harris.online/ebooks/ai-powered-smart-grid-revolutionizing-electricity-distribution-and-generation/buy-now</t>
        </is>
      </c>
      <c r="D7" s="32" t="inlineStr">
        <is>
          <t>https://mybook.to/sntL</t>
        </is>
      </c>
      <c r="E7" s="32" t="inlineStr">
        <is>
          <t>https://jonathan-harris.online/book/ai-powered-smart-grid-revolutionizing-electricity-distribution-and-generation/buy-now</t>
        </is>
      </c>
      <c r="F7" s="31" t="n"/>
      <c r="G7" s="31" t="inlineStr">
        <is>
          <t>B0DMKFZ3W3</t>
        </is>
      </c>
      <c r="H7" s="33" t="n">
        <v>338</v>
      </c>
      <c r="I7" s="34" t="n">
        <v>45604</v>
      </c>
      <c r="J7" s="32" t="inlineStr">
        <is>
          <t>https://images.jonathan-harris.online/ai-smart-grid-electricity-webp</t>
        </is>
      </c>
      <c r="K7" s="2" t="n"/>
      <c r="L7" s="2" t="n"/>
      <c r="M7" s="2" t="n"/>
      <c r="N7" s="2" t="n"/>
      <c r="O7" s="2" t="n"/>
      <c r="P7" s="2" t="n"/>
      <c r="Q7" s="2" t="n"/>
      <c r="R7" s="2" t="n"/>
      <c r="S7" s="2" t="n"/>
      <c r="T7" s="2" t="n"/>
      <c r="U7" s="2" t="n"/>
      <c r="V7" s="2" t="n"/>
      <c r="W7" s="2" t="n"/>
      <c r="X7" s="2" t="n"/>
      <c r="Y7" s="2" t="n"/>
      <c r="Z7" s="2" t="n"/>
    </row>
    <row r="8">
      <c r="A8" s="31" t="inlineStr">
        <is>
          <t>ai-revolution-in-railways-modernizing-travel-for-a-smarter-future</t>
        </is>
      </c>
      <c r="B8" s="32" t="inlineStr">
        <is>
          <t>https://jonathan-harris.online/ebooks/ai-revolution-in-railways-modernizing-travel-for-a-smarter-future/</t>
        </is>
      </c>
      <c r="C8" s="32" t="inlineStr">
        <is>
          <t>https://jonathan-harris.online/ebooks/ai-revolution-in-railways-modernizing-travel-for-a-smarter-future/buy-now</t>
        </is>
      </c>
      <c r="D8" s="32" t="inlineStr">
        <is>
          <t>https://mybook.to/JkJfDp</t>
        </is>
      </c>
      <c r="E8" s="32" t="inlineStr">
        <is>
          <t>https://jonathan-harris.online/book/ai-revolution-in-railways-modernizing-travel-for-a-smarter-future/buy-now</t>
        </is>
      </c>
      <c r="F8" s="31" t="n"/>
      <c r="G8" s="31" t="inlineStr">
        <is>
          <t>B0DWM19MZH</t>
        </is>
      </c>
      <c r="H8" s="33" t="n">
        <v>254</v>
      </c>
      <c r="I8" s="34" t="n">
        <v>45696</v>
      </c>
      <c r="J8" s="32" t="inlineStr">
        <is>
          <t>https://images.jonathan-harris.online/ai-revolution-railways-modernizing-webp</t>
        </is>
      </c>
      <c r="K8" s="2" t="n"/>
      <c r="L8" s="2" t="n"/>
      <c r="M8" s="2" t="n"/>
      <c r="N8" s="2" t="n"/>
      <c r="O8" s="2" t="n"/>
      <c r="P8" s="2" t="n"/>
      <c r="Q8" s="2" t="n"/>
      <c r="R8" s="2" t="n"/>
      <c r="S8" s="2" t="n"/>
      <c r="T8" s="2" t="n"/>
      <c r="U8" s="2" t="n"/>
      <c r="V8" s="2" t="n"/>
      <c r="W8" s="2" t="n"/>
      <c r="X8" s="2" t="n"/>
      <c r="Y8" s="2" t="n"/>
      <c r="Z8" s="2" t="n"/>
    </row>
    <row r="9">
      <c r="A9" s="31" t="inlineStr">
        <is>
          <t>artificial-intelligence-and-the-law-case-studies-and-future-trends</t>
        </is>
      </c>
      <c r="B9" s="32" t="inlineStr">
        <is>
          <t>https://jonathan-harris.online/ebooks/artificial-intelligence-and-the-law-case-studies-and-future-trends/</t>
        </is>
      </c>
      <c r="C9" s="32" t="inlineStr">
        <is>
          <t>https://jonathan-harris.online/ebooks/artificial-intelligence-and-the-law-case-studies-and-future-trends/buy-now</t>
        </is>
      </c>
      <c r="D9" s="32" t="inlineStr">
        <is>
          <t>https://mybook.to/bWpjeB</t>
        </is>
      </c>
      <c r="E9" s="32" t="inlineStr">
        <is>
          <t>https://jonathan-harris.online/book/artificial-intelligence-and-the-law-case-studies-and-future-trends/buy-now</t>
        </is>
      </c>
      <c r="F9" s="31" t="n"/>
      <c r="G9" s="31" t="inlineStr">
        <is>
          <t>B0DQHTBSWJ</t>
        </is>
      </c>
      <c r="H9" s="33" t="n">
        <v>224</v>
      </c>
      <c r="I9" s="34" t="n">
        <v>45640</v>
      </c>
      <c r="J9" s="32" t="inlineStr">
        <is>
          <t>https://images.jonathan-harris.online/artificial-intelligence-law-webp</t>
        </is>
      </c>
      <c r="K9" s="2" t="n"/>
      <c r="L9" s="2" t="n"/>
      <c r="M9" s="2" t="n"/>
      <c r="N9" s="2" t="n"/>
      <c r="O9" s="2" t="n"/>
      <c r="P9" s="2" t="n"/>
      <c r="Q9" s="2" t="n"/>
      <c r="R9" s="2" t="n"/>
      <c r="S9" s="2" t="n"/>
      <c r="T9" s="2" t="n"/>
      <c r="U9" s="2" t="n"/>
      <c r="V9" s="2" t="n"/>
      <c r="W9" s="2" t="n"/>
      <c r="X9" s="2" t="n"/>
      <c r="Y9" s="2" t="n"/>
      <c r="Z9" s="2" t="n"/>
    </row>
    <row r="10">
      <c r="A10" s="31" t="inlineStr">
        <is>
          <t>artificial-intelligence-for-cyber-security-a-practical-guide-to-data-breach-prevention</t>
        </is>
      </c>
      <c r="B10" s="32" t="inlineStr">
        <is>
          <t>https://jonathan-harris.online/ebooks/artificial-intelligence-for-cyber-security-a-practical-guide-to-data-breach-prevention/</t>
        </is>
      </c>
      <c r="C10" s="32" t="inlineStr">
        <is>
          <t>https://jonathan-harris.online/ebooks/artificial-intelligence-for-cyber-security-a-practical-guide-to-data-breach-prevention/buy-now</t>
        </is>
      </c>
      <c r="D10" s="32" t="inlineStr">
        <is>
          <t>https://mybook.to/9Wvf</t>
        </is>
      </c>
      <c r="E10" s="32" t="inlineStr">
        <is>
          <t>https://jonathan-harris.online/book/artificial-intelligence-for-cyber-security-a-practical-guide-to-data-breach-prevention/buy-now</t>
        </is>
      </c>
      <c r="F10" s="31" t="n"/>
      <c r="G10" s="31" t="inlineStr">
        <is>
          <t>B0DN4GZZQ4</t>
        </is>
      </c>
      <c r="H10" s="33" t="n">
        <v>269</v>
      </c>
      <c r="I10" s="34" t="n">
        <v>45610</v>
      </c>
      <c r="J10" s="32" t="inlineStr">
        <is>
          <t>https://images.jonathan-harris.online/artificial-intelligence-cyber-practical-webp</t>
        </is>
      </c>
      <c r="K10" s="2" t="n"/>
      <c r="L10" s="2" t="n"/>
      <c r="M10" s="2" t="n"/>
      <c r="N10" s="2" t="n"/>
      <c r="O10" s="2" t="n"/>
      <c r="P10" s="2" t="n"/>
      <c r="Q10" s="2" t="n"/>
      <c r="R10" s="2" t="n"/>
      <c r="S10" s="2" t="n"/>
      <c r="T10" s="2" t="n"/>
      <c r="U10" s="2" t="n"/>
      <c r="V10" s="2" t="n"/>
      <c r="W10" s="2" t="n"/>
      <c r="X10" s="2" t="n"/>
      <c r="Y10" s="2" t="n"/>
      <c r="Z10" s="2" t="n"/>
    </row>
    <row r="11">
      <c r="A11" s="31" t="inlineStr">
        <is>
          <t>artificial-intelligence-for-wildlife-conservation-revolutionizing-biodiversity-protection-through-technology</t>
        </is>
      </c>
      <c r="B11" s="32" t="inlineStr">
        <is>
          <t>https://jonathan-harris.online/ebooks/artificial-intelligence-for-wildlife-conservation-revolutionizing-biodiversity-protection-through-technology/</t>
        </is>
      </c>
      <c r="C11" s="32" t="inlineStr">
        <is>
          <t>https://jonathan-harris.online/ebooks/artificial-intelligence-for-wildlife-conservation-revolutionizing-biodiversity-protection-through-technology/buy-now</t>
        </is>
      </c>
      <c r="D11" s="35" t="inlineStr">
        <is>
          <t>https://mybook.to/94Q3</t>
        </is>
      </c>
      <c r="E11" s="32" t="inlineStr">
        <is>
          <t>https://jonathan-harris.online/book/artificial-intelligence-for-wildlife-conservation-revolutionizing-biodiversity-protection-through-technology/buy-now</t>
        </is>
      </c>
      <c r="F11" s="31" t="n"/>
      <c r="G11" s="31" t="inlineStr">
        <is>
          <t>B0DQK6B53Z</t>
        </is>
      </c>
      <c r="H11" s="33" t="n">
        <v>221</v>
      </c>
      <c r="I11" s="34" t="n">
        <v>45641</v>
      </c>
      <c r="J11" s="32" t="inlineStr">
        <is>
          <t>https://images.jonathan-harris.online/artificial-intelligence-wildlife-conservation-webp</t>
        </is>
      </c>
      <c r="K11" s="2" t="n"/>
      <c r="L11" s="2" t="n"/>
      <c r="M11" s="2" t="n"/>
      <c r="N11" s="2" t="n"/>
      <c r="O11" s="2" t="n"/>
      <c r="P11" s="2" t="n"/>
      <c r="Q11" s="2" t="n"/>
      <c r="R11" s="2" t="n"/>
      <c r="S11" s="2" t="n"/>
      <c r="T11" s="2" t="n"/>
      <c r="U11" s="2" t="n"/>
      <c r="V11" s="2" t="n"/>
      <c r="W11" s="2" t="n"/>
      <c r="X11" s="2" t="n"/>
      <c r="Y11" s="2" t="n"/>
      <c r="Z11" s="2" t="n"/>
    </row>
    <row r="12">
      <c r="A12" s="31" t="inlineStr">
        <is>
          <t>artificial-intelligence-in-banking-revolutionizing-finance-and-data-security</t>
        </is>
      </c>
      <c r="B12" s="32" t="inlineStr">
        <is>
          <t>https://jonathan-harris.online/ebooks/artificial-intelligence-in-banking-revolutionizing-finance-and-data-security/</t>
        </is>
      </c>
      <c r="C12" s="32" t="inlineStr">
        <is>
          <t>https://jonathan-harris.online/ebooks/artificial-intelligence-in-banking-revolutionizing-finance-and-data-security/buy-now</t>
        </is>
      </c>
      <c r="D12" s="32" t="inlineStr">
        <is>
          <t>https://mybook.to/8VjT</t>
        </is>
      </c>
      <c r="E12" s="32" t="inlineStr">
        <is>
          <t>https://jonathan-harris.online/book/artificial-intelligence-in-banking-revolutionizing-finance-and-data-security/buy-now</t>
        </is>
      </c>
      <c r="F12" s="31" t="n"/>
      <c r="G12" s="31" t="inlineStr">
        <is>
          <t>B0DML75B3C</t>
        </is>
      </c>
      <c r="H12" s="33" t="n">
        <v>286</v>
      </c>
      <c r="I12" s="34" t="n">
        <v>45605</v>
      </c>
      <c r="J12" s="32" t="inlineStr">
        <is>
          <t>https://images.jonathan-harris.online/artificial-intelligence-banking-finance-webp</t>
        </is>
      </c>
      <c r="K12" s="2" t="n"/>
      <c r="L12" s="2" t="n"/>
      <c r="M12" s="2" t="n"/>
      <c r="N12" s="2" t="n"/>
      <c r="O12" s="2" t="n"/>
      <c r="P12" s="2" t="n"/>
      <c r="Q12" s="2" t="n"/>
      <c r="R12" s="2" t="n"/>
      <c r="S12" s="2" t="n"/>
      <c r="T12" s="2" t="n"/>
      <c r="U12" s="2" t="n"/>
      <c r="V12" s="2" t="n"/>
      <c r="W12" s="2" t="n"/>
      <c r="X12" s="2" t="n"/>
      <c r="Y12" s="2" t="n"/>
      <c r="Z12" s="2" t="n"/>
    </row>
    <row r="13">
      <c r="A13" s="31" t="inlineStr">
        <is>
          <t>artificial-intelligence-in-construction-building-a-sustainable-future</t>
        </is>
      </c>
      <c r="B13" s="32" t="inlineStr">
        <is>
          <t>https://jonathan-harris.online/ebooks/artificial-intelligence-in-construction-building-a-sustainable-future/</t>
        </is>
      </c>
      <c r="C13" s="32" t="inlineStr">
        <is>
          <t>https://jonathan-harris.online/ebooks/artificial-intelligence-in-construction-building-a-sustainable-future/buy-now</t>
        </is>
      </c>
      <c r="D13" s="32" t="inlineStr">
        <is>
          <t>https://mybook.to/v98RD</t>
        </is>
      </c>
      <c r="E13" s="32" t="inlineStr">
        <is>
          <t>https://jonathan-harris.online/book/artificial-intelligence-in-construction-building-a-sustainable-future/buy-now</t>
        </is>
      </c>
      <c r="F13" s="31" t="n"/>
      <c r="G13" s="31" t="inlineStr">
        <is>
          <t>B0DMQMGLP4</t>
        </is>
      </c>
      <c r="H13" s="33" t="n">
        <v>319</v>
      </c>
      <c r="I13" s="34" t="n">
        <v>45607</v>
      </c>
      <c r="J13" s="32" t="inlineStr">
        <is>
          <t>https://images.jonathan-harris.online/artificial-intelligence-construction-building-webp</t>
        </is>
      </c>
      <c r="K13" s="2" t="n"/>
      <c r="L13" s="2" t="n"/>
      <c r="M13" s="2" t="n"/>
      <c r="N13" s="2" t="n"/>
      <c r="O13" s="2" t="n"/>
      <c r="P13" s="2" t="n"/>
      <c r="Q13" s="2" t="n"/>
      <c r="R13" s="2" t="n"/>
      <c r="S13" s="2" t="n"/>
      <c r="T13" s="2" t="n"/>
      <c r="U13" s="2" t="n"/>
      <c r="V13" s="2" t="n"/>
      <c r="W13" s="2" t="n"/>
      <c r="X13" s="2" t="n"/>
      <c r="Y13" s="2" t="n"/>
      <c r="Z13" s="2" t="n"/>
    </row>
    <row r="14">
      <c r="A14" s="31" t="inlineStr">
        <is>
          <t>artificial-intelligence-in-industry-a-comprehensive-guide</t>
        </is>
      </c>
      <c r="B14" s="32" t="inlineStr">
        <is>
          <t>https://jonathan-harris.online/ebooks/artificial-intelligence-in-industry-a-comprehensive-guide/</t>
        </is>
      </c>
      <c r="C14" s="32" t="inlineStr">
        <is>
          <t>https://jonathan-harris.online/ebooks/artificial-intelligence-in-industry-a-comprehensive-guide/buy-now</t>
        </is>
      </c>
      <c r="D14" s="32" t="inlineStr">
        <is>
          <t>https://mybook.to/t2Au28</t>
        </is>
      </c>
      <c r="E14" s="32" t="inlineStr">
        <is>
          <t>https://jonathan-harris.online/book/artificial-intelligence-in-industry-a-comprehensive-guide/buy-now</t>
        </is>
      </c>
      <c r="F14" s="31" t="n"/>
      <c r="G14" s="31" t="inlineStr">
        <is>
          <t>B0DMV47ZRL</t>
        </is>
      </c>
      <c r="H14" s="33" t="n">
        <v>347</v>
      </c>
      <c r="I14" s="34" t="n">
        <v>45608</v>
      </c>
      <c r="J14" s="32" t="inlineStr">
        <is>
          <t>https://images.jonathan-harris.online/artificial-intelligence-industry-comprehensive-webp</t>
        </is>
      </c>
      <c r="K14" s="2" t="n"/>
      <c r="L14" s="2" t="n"/>
      <c r="M14" s="2" t="n"/>
      <c r="N14" s="2" t="n"/>
      <c r="O14" s="2" t="n"/>
      <c r="P14" s="2" t="n"/>
      <c r="Q14" s="2" t="n"/>
      <c r="R14" s="2" t="n"/>
      <c r="S14" s="2" t="n"/>
      <c r="T14" s="2" t="n"/>
      <c r="U14" s="2" t="n"/>
      <c r="V14" s="2" t="n"/>
      <c r="W14" s="2" t="n"/>
      <c r="X14" s="2" t="n"/>
      <c r="Y14" s="2" t="n"/>
      <c r="Z14" s="2" t="n"/>
    </row>
    <row r="15">
      <c r="A15" s="31" t="inlineStr">
        <is>
          <t>artificial-intelligence-in-logistics-optimizing-efficiency-and-sustainability</t>
        </is>
      </c>
      <c r="B15" s="32" t="inlineStr">
        <is>
          <t>https://jonathan-harris.online/ebooks/artificial-intelligence-in-logistics-optimizing-efficiency-and-sustainability/</t>
        </is>
      </c>
      <c r="C15" s="32" t="inlineStr">
        <is>
          <t>https://jonathan-harris.online/ebooks/artificial-intelligence-in-logistics-optimizing-efficiency-and-sustainability/buy-now</t>
        </is>
      </c>
      <c r="D15" s="32" t="inlineStr">
        <is>
          <t>https://mybook.to/zSKnSW</t>
        </is>
      </c>
      <c r="E15" s="32" t="inlineStr">
        <is>
          <t>https://jonathan-harris.online/book/artificial-intelligence-in-logistics-optimizing-efficiency-and-sustainability/buy-now</t>
        </is>
      </c>
      <c r="F15" s="31" t="n"/>
      <c r="G15" s="31" t="inlineStr">
        <is>
          <t>B0DMQLK6LY</t>
        </is>
      </c>
      <c r="H15" s="33" t="n">
        <v>339</v>
      </c>
      <c r="I15" s="34" t="n">
        <v>45607</v>
      </c>
      <c r="J15" s="32" t="inlineStr">
        <is>
          <t>https://images.jonathan-harris.online/artificial-intelligence-logistics-webp</t>
        </is>
      </c>
      <c r="K15" s="2" t="n"/>
      <c r="L15" s="2" t="n"/>
      <c r="M15" s="2" t="n"/>
      <c r="N15" s="2" t="n"/>
      <c r="O15" s="2" t="n"/>
      <c r="P15" s="2" t="n"/>
      <c r="Q15" s="2" t="n"/>
      <c r="R15" s="2" t="n"/>
      <c r="S15" s="2" t="n"/>
      <c r="T15" s="2" t="n"/>
      <c r="U15" s="2" t="n"/>
      <c r="V15" s="2" t="n"/>
      <c r="W15" s="2" t="n"/>
      <c r="X15" s="2" t="n"/>
      <c r="Y15" s="2" t="n"/>
      <c r="Z15" s="2" t="n"/>
    </row>
    <row r="16">
      <c r="A16" s="31" t="inlineStr">
        <is>
          <t>artificial-intelligence-in-pharmaceuticals-revolutionizing-healthcare</t>
        </is>
      </c>
      <c r="B16" s="32" t="inlineStr">
        <is>
          <t>https://jonathan-harris.online/ebooks/artificial-intelligence-in-pharmaceuticals-revolutionizing-healthcare/</t>
        </is>
      </c>
      <c r="C16" s="32" t="inlineStr">
        <is>
          <t>https://jonathan-harris.online/ebooks/artificial-intelligence-in-pharmaceuticals-revolutionizing-healthcare/buy-now</t>
        </is>
      </c>
      <c r="D16" s="32" t="inlineStr">
        <is>
          <t>https://mybook.to/3cA8</t>
        </is>
      </c>
      <c r="E16" s="32" t="inlineStr">
        <is>
          <t>https://jonathan-harris.online/book/artificial-intelligence-in-pharmaceuticals-revolutionizing-healthcare/buy-now</t>
        </is>
      </c>
      <c r="F16" s="31" t="n"/>
      <c r="G16" s="31" t="inlineStr">
        <is>
          <t>B0DN4XSLK9</t>
        </is>
      </c>
      <c r="H16" s="33" t="n">
        <v>328</v>
      </c>
      <c r="I16" s="34" t="n">
        <v>45610</v>
      </c>
      <c r="J16" s="32" t="inlineStr">
        <is>
          <t>https://images.jonathan-harris.online/artificial-intelligence-pharmaceuticals-revolutionizing-healthcare-webp</t>
        </is>
      </c>
      <c r="K16" s="2" t="n"/>
      <c r="L16" s="2" t="n"/>
      <c r="M16" s="2" t="n"/>
      <c r="N16" s="2" t="n"/>
      <c r="O16" s="2" t="n"/>
      <c r="P16" s="2" t="n"/>
      <c r="Q16" s="2" t="n"/>
      <c r="R16" s="2" t="n"/>
      <c r="S16" s="2" t="n"/>
      <c r="T16" s="2" t="n"/>
      <c r="U16" s="2" t="n"/>
      <c r="V16" s="2" t="n"/>
      <c r="W16" s="2" t="n"/>
      <c r="X16" s="2" t="n"/>
      <c r="Y16" s="2" t="n"/>
      <c r="Z16" s="2" t="n"/>
    </row>
    <row r="17">
      <c r="A17" s="31" t="inlineStr">
        <is>
          <t>artificial-intelligence-in-sports-revolutionizing-performance-and-fan-engagement</t>
        </is>
      </c>
      <c r="B17" s="32" t="inlineStr">
        <is>
          <t>https://jonathan-harris.online/ebooks/artificial-intelligence-in-sports-revolutionizing-performance-and-fan-engagement/</t>
        </is>
      </c>
      <c r="C17" s="32" t="inlineStr">
        <is>
          <t>https://jonathan-harris.online/ebooks/artificial-intelligence-in-sports-revolutionizing-performance-and-fan-engagement/buy-now</t>
        </is>
      </c>
      <c r="D17" s="32" t="inlineStr">
        <is>
          <t>https://mybook.to/73M1</t>
        </is>
      </c>
      <c r="E17" s="32" t="inlineStr">
        <is>
          <t>https://jonathan-harris.online/book/artificial-intelligence-in-sports-revolutionizing-performance-and-fan-engagement/buy-now</t>
        </is>
      </c>
      <c r="F17" s="31" t="n"/>
      <c r="G17" s="31" t="inlineStr">
        <is>
          <t>B0DQFJ6XP5</t>
        </is>
      </c>
      <c r="H17" s="33" t="n">
        <v>229</v>
      </c>
      <c r="I17" s="34" t="n">
        <v>45638</v>
      </c>
      <c r="J17" s="32" t="inlineStr">
        <is>
          <t>https://images.jonathan-harris.online/artificial-intelligence-sports-performance-webp</t>
        </is>
      </c>
      <c r="K17" s="2" t="n"/>
      <c r="L17" s="2" t="n"/>
      <c r="M17" s="2" t="n"/>
      <c r="N17" s="2" t="n"/>
      <c r="O17" s="2" t="n"/>
      <c r="P17" s="2" t="n"/>
      <c r="Q17" s="2" t="n"/>
      <c r="R17" s="2" t="n"/>
      <c r="S17" s="2" t="n"/>
      <c r="T17" s="2" t="n"/>
      <c r="U17" s="2" t="n"/>
      <c r="V17" s="2" t="n"/>
      <c r="W17" s="2" t="n"/>
      <c r="X17" s="2" t="n"/>
      <c r="Y17" s="2" t="n"/>
      <c r="Z17" s="2" t="n"/>
    </row>
    <row r="18">
      <c r="A18" s="31" t="inlineStr">
        <is>
          <t>artificial-intelligence-in-veterinary-medicine-transforming-animal-healthcare-through-innovation</t>
        </is>
      </c>
      <c r="B18" s="32" t="inlineStr">
        <is>
          <t>https://jonathan-harris.online/ebooks/artificial-intelligence-in-veterinary-medicine-transforming-animal-healthcare-through-innovation/</t>
        </is>
      </c>
      <c r="C18" s="32" t="inlineStr">
        <is>
          <t>https://jonathan-harris.online/ebooks/artificial-intelligence-in-veterinary-medicine-transforming-animal-healthcare-through-innovation/buy-now</t>
        </is>
      </c>
      <c r="D18" s="32" t="inlineStr">
        <is>
          <t>https://mybook.to/SOjUE</t>
        </is>
      </c>
      <c r="E18" s="32" t="inlineStr">
        <is>
          <t>https://jonathan-harris.online/book/artificial-intelligence-in-veterinary-medicine-transforming-animal-healthcare-through-innovation/buy-now</t>
        </is>
      </c>
      <c r="F18" s="31" t="n"/>
      <c r="G18" s="31" t="inlineStr">
        <is>
          <t>B0DQK6C563</t>
        </is>
      </c>
      <c r="H18" s="33" t="n">
        <v>205</v>
      </c>
      <c r="I18" s="34" t="n">
        <v>45641</v>
      </c>
      <c r="J18" s="32" t="inlineStr">
        <is>
          <t>https://images.jonathan-harris.online/artificial-intelligence-veterinary-medicine-webp</t>
        </is>
      </c>
      <c r="K18" s="2" t="n"/>
      <c r="L18" s="2" t="n"/>
      <c r="M18" s="2" t="n"/>
      <c r="N18" s="2" t="n"/>
      <c r="O18" s="2" t="n"/>
      <c r="P18" s="2" t="n"/>
      <c r="Q18" s="2" t="n"/>
      <c r="R18" s="2" t="n"/>
      <c r="S18" s="2" t="n"/>
      <c r="T18" s="2" t="n"/>
      <c r="U18" s="2" t="n"/>
      <c r="V18" s="2" t="n"/>
      <c r="W18" s="2" t="n"/>
      <c r="X18" s="2" t="n"/>
      <c r="Y18" s="2" t="n"/>
      <c r="Z18" s="2" t="n"/>
    </row>
    <row r="19">
      <c r="A19" s="31" t="inlineStr">
        <is>
          <t>artificial-intelligence-powered-retail-revolutionizing-customer-experience-for-a-sustainable-future</t>
        </is>
      </c>
      <c r="B19" s="32" t="inlineStr">
        <is>
          <t>https://jonathan-harris.online/ebooks/artificial-intelligence-powered-retail-revolutionizing-customer-experience-for-a-sustainable-future/</t>
        </is>
      </c>
      <c r="C19" s="32" t="inlineStr">
        <is>
          <t>https://jonathan-harris.online/ebooks/artificial-intelligence-powered-retail-revolutionizing-customer-experience-for-a-sustainable-future/buy-now</t>
        </is>
      </c>
      <c r="D19" s="32" t="inlineStr">
        <is>
          <t>https://mybook.to/POYR</t>
        </is>
      </c>
      <c r="E19" s="32" t="inlineStr">
        <is>
          <t>https://jonathan-harris.online/book/artificial-intelligence-powered-retail-revolutionizing-customer-experience-for-a-sustainable-future/buy-now</t>
        </is>
      </c>
      <c r="F19" s="31" t="n"/>
      <c r="G19" s="31" t="inlineStr">
        <is>
          <t>B0DMYHW17M</t>
        </is>
      </c>
      <c r="H19" s="33" t="n">
        <v>234</v>
      </c>
      <c r="I19" s="34" t="n">
        <v>45609</v>
      </c>
      <c r="J19" s="32" t="inlineStr">
        <is>
          <t>https://images.jonathan-harris.online/artificial-intelligence-retail-customer-webp</t>
        </is>
      </c>
      <c r="K19" s="2" t="n"/>
      <c r="L19" s="2" t="n"/>
      <c r="M19" s="2" t="n"/>
      <c r="N19" s="2" t="n"/>
      <c r="O19" s="2" t="n"/>
      <c r="P19" s="2" t="n"/>
      <c r="Q19" s="2" t="n"/>
      <c r="R19" s="2" t="n"/>
      <c r="S19" s="2" t="n"/>
      <c r="T19" s="2" t="n"/>
      <c r="U19" s="2" t="n"/>
      <c r="V19" s="2" t="n"/>
      <c r="W19" s="2" t="n"/>
      <c r="X19" s="2" t="n"/>
      <c r="Y19" s="2" t="n"/>
      <c r="Z19" s="2" t="n"/>
    </row>
    <row r="20">
      <c r="A20" s="31" t="inlineStr">
        <is>
          <t>artificial-intelligence-revolution-in-manufacturing-modernizing-operations-maintenance-and-service-delivery</t>
        </is>
      </c>
      <c r="B20" s="32" t="inlineStr">
        <is>
          <t>https://jonathan-harris.online/ebooks/artificial-intelligence-revolution-in-manufacturing-modernizing-operations-maintenance-and-service-delivery/</t>
        </is>
      </c>
      <c r="C20" s="32" t="inlineStr">
        <is>
          <t>https://jonathan-harris.online/ebooks/artificial-intelligence-revolution-in-manufacturing-modernizing-operations-maintenance-and-service-delivery/buy-now</t>
        </is>
      </c>
      <c r="D20" s="32" t="inlineStr">
        <is>
          <t>https://mybook.to/SOAEb</t>
        </is>
      </c>
      <c r="E20" s="32" t="inlineStr">
        <is>
          <t>https://jonathan-harris.online/book/artificial-intelligence-revolution-in-manufacturing-modernizing-operations-maintenance-and-service-delivery/buy-now</t>
        </is>
      </c>
      <c r="F20" s="31" t="n"/>
      <c r="G20" s="31" t="inlineStr">
        <is>
          <t>B0DMV2Q6TF</t>
        </is>
      </c>
      <c r="H20" s="33" t="n">
        <v>369</v>
      </c>
      <c r="I20" s="34" t="n">
        <v>45608</v>
      </c>
      <c r="J20" s="32" t="inlineStr">
        <is>
          <t>https://images.jonathan-harris.online/artificial-intelligence-revolution-manufacturing-webp</t>
        </is>
      </c>
      <c r="K20" s="2" t="n"/>
      <c r="L20" s="2" t="n"/>
      <c r="M20" s="2" t="n"/>
      <c r="N20" s="2" t="n"/>
      <c r="O20" s="2" t="n"/>
      <c r="P20" s="2" t="n"/>
      <c r="Q20" s="2" t="n"/>
      <c r="R20" s="2" t="n"/>
      <c r="S20" s="2" t="n"/>
      <c r="T20" s="2" t="n"/>
      <c r="U20" s="2" t="n"/>
      <c r="V20" s="2" t="n"/>
      <c r="W20" s="2" t="n"/>
      <c r="X20" s="2" t="n"/>
      <c r="Y20" s="2" t="n"/>
      <c r="Z20" s="2" t="n"/>
    </row>
    <row r="21" ht="15.75" customHeight="1" s="37">
      <c r="A21" s="31" t="inlineStr">
        <is>
          <t>beyond-earth-how-ai-is-transforming-space-exploration</t>
        </is>
      </c>
      <c r="B21" s="32" t="inlineStr">
        <is>
          <t>https://jonathan-harris.online/ebooks/beyond-earth-how-ai-is-transforming-space-exploration/</t>
        </is>
      </c>
      <c r="C21" s="32" t="inlineStr">
        <is>
          <t>https://jonathan-harris.online/ebooks/beyond-earth-how-ai-is-transforming-space-exploration/buy-now</t>
        </is>
      </c>
      <c r="D21" s="32" t="inlineStr">
        <is>
          <t>https://mybook.to/iY9m</t>
        </is>
      </c>
      <c r="E21" s="32" t="inlineStr">
        <is>
          <t>https://jonathan-harris.online/book/beyond-earth-how-ai-is-transforming-space-exploration/buy-now</t>
        </is>
      </c>
      <c r="F21" s="31" t="n"/>
      <c r="G21" s="31" t="inlineStr">
        <is>
          <t>B0DY4Q2Q2D</t>
        </is>
      </c>
      <c r="H21" s="33" t="n">
        <v>350</v>
      </c>
      <c r="I21" s="34" t="n">
        <v>45709</v>
      </c>
      <c r="J21" s="32" t="inlineStr">
        <is>
          <t>https://images.jonathan-harris.online/ai-earth-space-exploration-webp</t>
        </is>
      </c>
      <c r="K21" s="2" t="n"/>
      <c r="L21" s="2" t="n"/>
      <c r="M21" s="2" t="n"/>
      <c r="N21" s="2" t="n"/>
      <c r="O21" s="2" t="n"/>
      <c r="P21" s="2" t="n"/>
      <c r="Q21" s="2" t="n"/>
      <c r="R21" s="2" t="n"/>
      <c r="S21" s="2" t="n"/>
      <c r="T21" s="2" t="n"/>
      <c r="U21" s="2" t="n"/>
      <c r="V21" s="2" t="n"/>
      <c r="W21" s="2" t="n"/>
      <c r="X21" s="2" t="n"/>
      <c r="Y21" s="2" t="n"/>
      <c r="Z21" s="2" t="n"/>
    </row>
    <row r="22" ht="15.75" customHeight="1" s="37">
      <c r="A22" s="31" t="inlineStr">
        <is>
          <t>climate-intelligence-harnessing-ai-for-a-greener-future</t>
        </is>
      </c>
      <c r="B22" s="32" t="inlineStr">
        <is>
          <t>https://jonathan-harris.online/ebooks/climate-intelligence-harnessing-ai-for-a-greener-future/</t>
        </is>
      </c>
      <c r="C22" s="32" t="inlineStr">
        <is>
          <t>https://jonathan-harris.online/ebooks/climate-intelligence-harnessing-ai-for-a-greener-future/buy-now</t>
        </is>
      </c>
      <c r="D22" s="32" t="inlineStr">
        <is>
          <t>https://mybook.to/aKj8Fh</t>
        </is>
      </c>
      <c r="E22" s="32" t="inlineStr">
        <is>
          <t>https://jonathan-harris.online/book/climate-intelligence-harnessing-ai-for-a-greener-future/buy-now</t>
        </is>
      </c>
      <c r="F22" s="31" t="n"/>
      <c r="G22" s="31" t="inlineStr">
        <is>
          <t>B0DM72JZ44</t>
        </is>
      </c>
      <c r="H22" s="33" t="n">
        <v>338</v>
      </c>
      <c r="I22" s="34" t="n">
        <v>45602</v>
      </c>
      <c r="J22" s="32" t="inlineStr">
        <is>
          <t>https://images.jonathan-harris.online/ai-climate-intelligence-greener-webp</t>
        </is>
      </c>
      <c r="K22" s="2" t="n"/>
      <c r="L22" s="2" t="n"/>
      <c r="M22" s="2" t="n"/>
      <c r="N22" s="2" t="n"/>
      <c r="O22" s="2" t="n"/>
      <c r="P22" s="2" t="n"/>
      <c r="Q22" s="2" t="n"/>
      <c r="R22" s="2" t="n"/>
      <c r="S22" s="2" t="n"/>
      <c r="T22" s="2" t="n"/>
      <c r="U22" s="2" t="n"/>
      <c r="V22" s="2" t="n"/>
      <c r="W22" s="2" t="n"/>
      <c r="X22" s="2" t="n"/>
      <c r="Y22" s="2" t="n"/>
      <c r="Z22" s="2" t="n"/>
    </row>
    <row r="23" ht="15.75" customHeight="1" s="37">
      <c r="A23" s="31" t="inlineStr">
        <is>
          <t>digital-defense-the-role-of-ai-in-modern-warfare</t>
        </is>
      </c>
      <c r="B23" s="32" t="inlineStr">
        <is>
          <t>https://jonathan-harris.online/ebooks/digital-defense-the-role-of-ai-in-modern-warfare/</t>
        </is>
      </c>
      <c r="C23" s="32" t="inlineStr">
        <is>
          <t>https://jonathan-harris.online/ebooks/digital-defense-the-role-of-ai-in-modern-warfare/buy-now</t>
        </is>
      </c>
      <c r="D23" s="32" t="inlineStr">
        <is>
          <t>https://mybook.to/digitaldefense</t>
        </is>
      </c>
      <c r="E23" s="32" t="inlineStr">
        <is>
          <t>https://jonathan-harris.online/book/digital-defense-the-role-of-ai-in-modern-warfare/buy-now</t>
        </is>
      </c>
      <c r="F23" s="31" t="n"/>
      <c r="G23" s="31" t="inlineStr">
        <is>
          <t>B0DM8256SL</t>
        </is>
      </c>
      <c r="H23" s="33" t="n">
        <v>296</v>
      </c>
      <c r="I23" s="34" t="n">
        <v>45602</v>
      </c>
      <c r="J23" s="32" t="inlineStr">
        <is>
          <t>https://images.jonathan-harris.online/ai-digital-defense-modern-webp</t>
        </is>
      </c>
      <c r="K23" s="2" t="n"/>
      <c r="L23" s="2" t="n"/>
      <c r="M23" s="2" t="n"/>
      <c r="N23" s="2" t="n"/>
      <c r="O23" s="2" t="n"/>
      <c r="P23" s="2" t="n"/>
      <c r="Q23" s="2" t="n"/>
      <c r="R23" s="2" t="n"/>
      <c r="S23" s="2" t="n"/>
      <c r="T23" s="2" t="n"/>
      <c r="U23" s="2" t="n"/>
      <c r="V23" s="2" t="n"/>
      <c r="W23" s="2" t="n"/>
      <c r="X23" s="2" t="n"/>
      <c r="Y23" s="2" t="n"/>
      <c r="Z23" s="2" t="n"/>
    </row>
    <row r="24" ht="15.75" customHeight="1" s="37">
      <c r="A24" s="31" t="inlineStr">
        <is>
          <t>digital-diagnosis-how-ai-is-revolutionizing-healthcare</t>
        </is>
      </c>
      <c r="B24" s="32" t="inlineStr">
        <is>
          <t>https://jonathan-harris.online/ebooks/digital-diagnosis-how-ai-is-revolutionizing-healthcare/</t>
        </is>
      </c>
      <c r="C24" s="32" t="inlineStr">
        <is>
          <t>https://jonathan-harris.online/ebooks/digital-diagnosis-how-ai-is-revolutionizing-healthcare/buy-now</t>
        </is>
      </c>
      <c r="D24" s="32" t="inlineStr">
        <is>
          <t>https://mybook.to/hrnKOD</t>
        </is>
      </c>
      <c r="E24" s="32" t="inlineStr">
        <is>
          <t>https://jonathan-harris.online/book/digital-diagnosis-how-ai-is-revolutionizing-healthcare/buy-now</t>
        </is>
      </c>
      <c r="F24" s="31" t="n"/>
      <c r="G24" s="31" t="inlineStr">
        <is>
          <t>B0DM73FR3W</t>
        </is>
      </c>
      <c r="H24" s="33" t="n">
        <v>348</v>
      </c>
      <c r="I24" s="34" t="n">
        <v>45602</v>
      </c>
      <c r="J24" s="32" t="inlineStr">
        <is>
          <t>https://images.jonathan-harris.online/ai-digital-diagnosis-healthcare-webp</t>
        </is>
      </c>
      <c r="K24" s="2" t="n"/>
      <c r="L24" s="2" t="n"/>
      <c r="M24" s="2" t="n"/>
      <c r="N24" s="2" t="n"/>
      <c r="O24" s="2" t="n"/>
      <c r="P24" s="2" t="n"/>
      <c r="Q24" s="2" t="n"/>
      <c r="R24" s="2" t="n"/>
      <c r="S24" s="2" t="n"/>
      <c r="T24" s="2" t="n"/>
      <c r="U24" s="2" t="n"/>
      <c r="V24" s="2" t="n"/>
      <c r="W24" s="2" t="n"/>
      <c r="X24" s="2" t="n"/>
      <c r="Y24" s="2" t="n"/>
      <c r="Z24" s="2" t="n"/>
    </row>
    <row r="25" ht="15.75" customHeight="1" s="37">
      <c r="A25" s="31" t="inlineStr">
        <is>
          <t>from-reporters-to-robots-how-ai-is-reshaping-journalism</t>
        </is>
      </c>
      <c r="B25" s="32" t="inlineStr">
        <is>
          <t>https://jonathan-harris.online/ebooks/from-reporters-to-robots-how-ai-is-reshaping-journalism/</t>
        </is>
      </c>
      <c r="C25" s="32" t="inlineStr">
        <is>
          <t>https://jonathan-harris.online/ebooks/from-reporters-to-robots-how-ai-is-reshaping-journalism/buy-now</t>
        </is>
      </c>
      <c r="D25" s="32" t="inlineStr">
        <is>
          <t>https://mybook.to/DWfAK</t>
        </is>
      </c>
      <c r="E25" s="32" t="inlineStr">
        <is>
          <t>https://jonathan-harris.online/book/from-reporters-to-robots-how-ai-is-reshaping-journalism/buy-now</t>
        </is>
      </c>
      <c r="F25" s="31" t="n"/>
      <c r="G25" s="31" t="inlineStr">
        <is>
          <t>B0DY4NP1WF</t>
        </is>
      </c>
      <c r="H25" s="33" t="n">
        <v>334</v>
      </c>
      <c r="I25" s="34" t="n">
        <v>45709</v>
      </c>
      <c r="J25" s="32" t="inlineStr">
        <is>
          <t>https://images.jonathan-harris.online/ai-reporters-robots-reshaping-webp</t>
        </is>
      </c>
      <c r="K25" s="2" t="n"/>
      <c r="L25" s="2" t="n"/>
      <c r="M25" s="2" t="n"/>
      <c r="N25" s="2" t="n"/>
      <c r="O25" s="2" t="n"/>
      <c r="P25" s="2" t="n"/>
      <c r="Q25" s="2" t="n"/>
      <c r="R25" s="2" t="n"/>
      <c r="S25" s="2" t="n"/>
      <c r="T25" s="2" t="n"/>
      <c r="U25" s="2" t="n"/>
      <c r="V25" s="2" t="n"/>
      <c r="W25" s="2" t="n"/>
      <c r="X25" s="2" t="n"/>
      <c r="Y25" s="2" t="n"/>
      <c r="Z25" s="2" t="n"/>
    </row>
    <row r="26" ht="15.75" customHeight="1" s="37">
      <c r="A26" s="31" t="inlineStr">
        <is>
          <t>game-ai-unleashed-from-finite-state-machines-to-machine-learning</t>
        </is>
      </c>
      <c r="B26" s="32" t="inlineStr">
        <is>
          <t>https://jonathan-harris.online/ebooks/game-ai-unleashed-from-finite-state-machines-to-machine-learning/</t>
        </is>
      </c>
      <c r="C26" s="32" t="inlineStr">
        <is>
          <t>https://jonathan-harris.online/ebooks/game-ai-unleashed-from-finite-state-machines-to-machine-learning/buy-now</t>
        </is>
      </c>
      <c r="D26" s="32" t="inlineStr">
        <is>
          <t>https://mybook.to/e7GozY6</t>
        </is>
      </c>
      <c r="E26" s="32" t="inlineStr">
        <is>
          <t>https://jonathan-harris.online/book/game-ai-unleashed-from-finite-state-machines-to-machine-learning/buy-now</t>
        </is>
      </c>
      <c r="F26" s="31" t="n"/>
      <c r="G26" s="31" t="inlineStr">
        <is>
          <t>B0DY18CYT6</t>
        </is>
      </c>
      <c r="H26" s="33" t="n">
        <v>344</v>
      </c>
      <c r="I26" s="34" t="n">
        <v>45708</v>
      </c>
      <c r="J26" s="32" t="inlineStr">
        <is>
          <t>https://images.jonathan-harris.online/ai-game-unleashed-finite-webp</t>
        </is>
      </c>
      <c r="K26" s="2" t="n"/>
      <c r="L26" s="2" t="n"/>
      <c r="M26" s="2" t="n"/>
      <c r="N26" s="2" t="n"/>
      <c r="O26" s="2" t="n"/>
      <c r="P26" s="2" t="n"/>
      <c r="Q26" s="2" t="n"/>
      <c r="R26" s="2" t="n"/>
      <c r="S26" s="2" t="n"/>
      <c r="T26" s="2" t="n"/>
      <c r="U26" s="2" t="n"/>
      <c r="V26" s="2" t="n"/>
      <c r="W26" s="2" t="n"/>
      <c r="X26" s="2" t="n"/>
      <c r="Y26" s="2" t="n"/>
      <c r="Z26" s="2" t="n"/>
    </row>
    <row r="27" ht="15.75" customHeight="1" s="37">
      <c r="A27" s="31" t="inlineStr">
        <is>
          <t>lights-camera-algorithm-ai-s-role-in-modern-filmmaking</t>
        </is>
      </c>
      <c r="B27" s="32" t="inlineStr">
        <is>
          <t>https://jonathan-harris.online/ebooks/lights-camera-algorithm-ai-s-role-in-modern-filmmaking/</t>
        </is>
      </c>
      <c r="C27" s="32" t="inlineStr">
        <is>
          <t>https://jonathan-harris.online/ebooks/lights-camera-algorithm-ai-s-role-in-modern-filmmaking/buy-now</t>
        </is>
      </c>
      <c r="D27" s="32" t="inlineStr">
        <is>
          <t>https://mybook.to/EcO2DI</t>
        </is>
      </c>
      <c r="E27" s="32" t="inlineStr">
        <is>
          <t>https://jonathan-harris.online/book/lights-camera-algorithm-ai-s-role-in-modern-filmmaking/buy-now</t>
        </is>
      </c>
      <c r="F27" s="31" t="n"/>
      <c r="G27" s="31" t="inlineStr">
        <is>
          <t>B0DY672VRB</t>
        </is>
      </c>
      <c r="H27" s="33" t="n">
        <v>336</v>
      </c>
      <c r="I27" s="34" t="n">
        <v>45710</v>
      </c>
      <c r="J27" s="32" t="inlineStr">
        <is>
          <t>https://images.jonathan-harris.online/lights-camera-algorithm-ais-webp</t>
        </is>
      </c>
      <c r="K27" s="2" t="n"/>
      <c r="L27" s="2" t="n"/>
      <c r="M27" s="2" t="n"/>
      <c r="N27" s="2" t="n"/>
      <c r="O27" s="2" t="n"/>
      <c r="P27" s="2" t="n"/>
      <c r="Q27" s="2" t="n"/>
      <c r="R27" s="2" t="n"/>
      <c r="S27" s="2" t="n"/>
      <c r="T27" s="2" t="n"/>
      <c r="U27" s="2" t="n"/>
      <c r="V27" s="2" t="n"/>
      <c r="W27" s="2" t="n"/>
      <c r="X27" s="2" t="n"/>
      <c r="Y27" s="2" t="n"/>
      <c r="Z27" s="2" t="n"/>
    </row>
    <row r="28" ht="15.75" customHeight="1" s="37">
      <c r="A28" s="31" t="inlineStr">
        <is>
          <t>smart-buildings-ai-powered-efficiency-and-sustainability</t>
        </is>
      </c>
      <c r="B28" s="32" t="inlineStr">
        <is>
          <t>https://jonathan-harris.online/ebooks/smart-buildings-ai-powered-efficiency-and-sustainability/</t>
        </is>
      </c>
      <c r="C28" s="32" t="inlineStr">
        <is>
          <t>https://jonathan-harris.online/ebooks/smart-buildings-ai-powered-efficiency-and-sustainability/buy-now</t>
        </is>
      </c>
      <c r="D28" s="32" t="inlineStr">
        <is>
          <t>https://mybook.to/QEcdy</t>
        </is>
      </c>
      <c r="E28" s="32" t="inlineStr">
        <is>
          <t>https://jonathan-harris.online/book/smart-buildings-ai-powered-efficiency-and-sustainability/buy-now</t>
        </is>
      </c>
      <c r="F28" s="31" t="n"/>
      <c r="G28" s="31" t="inlineStr">
        <is>
          <t>B0DMHBQVCR</t>
        </is>
      </c>
      <c r="H28" s="33" t="n">
        <v>345</v>
      </c>
      <c r="I28" s="34" t="n">
        <v>45604</v>
      </c>
      <c r="J28" s="32" t="inlineStr">
        <is>
          <t>https://images.jonathan-harris.online/ai-smart-buildings-webp</t>
        </is>
      </c>
      <c r="K28" s="2" t="n"/>
      <c r="L28" s="2" t="n"/>
      <c r="M28" s="2" t="n"/>
      <c r="N28" s="2" t="n"/>
      <c r="O28" s="2" t="n"/>
      <c r="P28" s="2" t="n"/>
      <c r="Q28" s="2" t="n"/>
      <c r="R28" s="2" t="n"/>
      <c r="S28" s="2" t="n"/>
      <c r="T28" s="2" t="n"/>
      <c r="U28" s="2" t="n"/>
      <c r="V28" s="2" t="n"/>
      <c r="W28" s="2" t="n"/>
      <c r="X28" s="2" t="n"/>
      <c r="Y28" s="2" t="n"/>
      <c r="Z28" s="2" t="n"/>
    </row>
    <row r="29" ht="15.75" customHeight="1" s="37">
      <c r="A29" s="31" t="inlineStr">
        <is>
          <t>the-ai-behind-your-feed-personalization-moderation-and-the-future-of-social-media</t>
        </is>
      </c>
      <c r="B29" s="32" t="inlineStr">
        <is>
          <t>https://jonathan-harris.online/ebooks/the-ai-behind-your-feed-personalization-moderation-and-the-future-of-social-media/</t>
        </is>
      </c>
      <c r="C29" s="32" t="inlineStr">
        <is>
          <t>https://jonathan-harris.online/ebooks/the-ai-behind-your-feed-personalization-moderation-and-the-future-of-social-media/buy-now</t>
        </is>
      </c>
      <c r="D29" s="32" t="inlineStr">
        <is>
          <t>https://mybook.to/rNRr</t>
        </is>
      </c>
      <c r="E29" s="32" t="inlineStr">
        <is>
          <t>https://jonathan-harris.online/book/the-ai-behind-your-feed-personalization-moderation-and-the-future-of-social-media/buy-now</t>
        </is>
      </c>
      <c r="F29" s="31" t="n"/>
      <c r="G29" s="31" t="inlineStr">
        <is>
          <t>B0DY12Z1SP</t>
        </is>
      </c>
      <c r="H29" s="33" t="n">
        <v>334</v>
      </c>
      <c r="I29" s="34" t="n">
        <v>45708</v>
      </c>
      <c r="J29" s="32" t="inlineStr">
        <is>
          <t>https://images.jonathan-harris.online/ai-behind-your-feed-webp</t>
        </is>
      </c>
      <c r="K29" s="2" t="n"/>
      <c r="L29" s="2" t="n"/>
      <c r="M29" s="2" t="n"/>
      <c r="N29" s="2" t="n"/>
      <c r="O29" s="2" t="n"/>
      <c r="P29" s="2" t="n"/>
      <c r="Q29" s="2" t="n"/>
      <c r="R29" s="2" t="n"/>
      <c r="S29" s="2" t="n"/>
      <c r="T29" s="2" t="n"/>
      <c r="U29" s="2" t="n"/>
      <c r="V29" s="2" t="n"/>
      <c r="W29" s="2" t="n"/>
      <c r="X29" s="2" t="n"/>
      <c r="Y29" s="2" t="n"/>
      <c r="Z29" s="2" t="n"/>
    </row>
    <row r="30" ht="15.75" customHeight="1" s="37">
      <c r="A30" s="31" t="inlineStr">
        <is>
          <t>the-ai-music-revolution-creativity-controversy-and-collaboration</t>
        </is>
      </c>
      <c r="B30" s="32" t="inlineStr">
        <is>
          <t>https://jonathan-harris.online/ebooks/the-ai-music-revolution-creativity-controversy-and-collaboration/</t>
        </is>
      </c>
      <c r="C30" s="32" t="inlineStr">
        <is>
          <t>https://jonathan-harris.online/ebooks/the-ai-music-revolution-creativity-controversy-and-collaboration/buy-now</t>
        </is>
      </c>
      <c r="D30" s="32" t="inlineStr">
        <is>
          <t>https://mybook.to/Io32sC3</t>
        </is>
      </c>
      <c r="E30" s="32" t="inlineStr">
        <is>
          <t>https://jonathan-harris.online/book/the-ai-music-revolution-creativity-controversy-and-collaboration/buy-now</t>
        </is>
      </c>
      <c r="F30" s="31" t="n"/>
      <c r="G30" s="31" t="inlineStr">
        <is>
          <t>B0DY666TZJ</t>
        </is>
      </c>
      <c r="H30" s="33" t="n">
        <v>295</v>
      </c>
      <c r="I30" s="34" t="n">
        <v>45710</v>
      </c>
      <c r="J30" s="32" t="inlineStr">
        <is>
          <t>https://images.jonathan-harris.online/ai-music-revolution-creativity-webp</t>
        </is>
      </c>
      <c r="K30" s="2" t="n"/>
      <c r="L30" s="2" t="n"/>
      <c r="M30" s="2" t="n"/>
      <c r="N30" s="2" t="n"/>
      <c r="O30" s="2" t="n"/>
      <c r="P30" s="2" t="n"/>
      <c r="Q30" s="2" t="n"/>
      <c r="R30" s="2" t="n"/>
      <c r="S30" s="2" t="n"/>
      <c r="T30" s="2" t="n"/>
      <c r="U30" s="2" t="n"/>
      <c r="V30" s="2" t="n"/>
      <c r="W30" s="2" t="n"/>
      <c r="X30" s="2" t="n"/>
      <c r="Y30" s="2" t="n"/>
      <c r="Z30" s="2" t="n"/>
    </row>
    <row r="31" ht="15.75" customHeight="1" s="37">
      <c r="A31" s="31" t="inlineStr">
        <is>
          <t>the-architects-of-ai-pioneers-breakthroughs-and-the-road-ahead</t>
        </is>
      </c>
      <c r="B31" s="32" t="inlineStr">
        <is>
          <t>https://jonathan-harris.online/ebooks/the-architects-of-ai-pioneers-breakthroughs-and-the-road-ahead/</t>
        </is>
      </c>
      <c r="C31" s="32" t="inlineStr">
        <is>
          <t>https://jonathan-harris.online/ebooks/the-architects-of-ai-pioneers-breakthroughs-and-the-road-ahead/buy-now</t>
        </is>
      </c>
      <c r="D31" s="32" t="inlineStr">
        <is>
          <t>https://mybook.to/qFAI</t>
        </is>
      </c>
      <c r="E31" s="32" t="inlineStr">
        <is>
          <t>https://jonathan-harris.online/book/the-architects-of-ai-pioneers-breakthroughs-and-the-road-ahead/buy-now</t>
        </is>
      </c>
      <c r="F31" s="31" t="n"/>
      <c r="G31" s="31" t="inlineStr">
        <is>
          <t>B0DY5MRT6K</t>
        </is>
      </c>
      <c r="H31" s="33" t="n">
        <v>302</v>
      </c>
      <c r="I31" s="34" t="n">
        <v>45710</v>
      </c>
      <c r="J31" s="32" t="inlineStr">
        <is>
          <t>https://images.jonathan-harris.online/architects-ai_-pioneers_-breakthroughs_-webp</t>
        </is>
      </c>
      <c r="K31" s="2" t="n"/>
      <c r="L31" s="2" t="n"/>
      <c r="M31" s="2" t="n"/>
      <c r="N31" s="2" t="n"/>
      <c r="O31" s="2" t="n"/>
      <c r="P31" s="2" t="n"/>
      <c r="Q31" s="2" t="n"/>
      <c r="R31" s="2" t="n"/>
      <c r="S31" s="2" t="n"/>
      <c r="T31" s="2" t="n"/>
      <c r="U31" s="2" t="n"/>
      <c r="V31" s="2" t="n"/>
      <c r="W31" s="2" t="n"/>
      <c r="X31" s="2" t="n"/>
      <c r="Y31" s="2" t="n"/>
      <c r="Z31" s="2" t="n"/>
    </row>
    <row r="32" ht="15.75" customHeight="1" s="37">
      <c r="A32" s="31" t="inlineStr">
        <is>
          <t>the-artificial-intelligence-job-shift-navigating-the-future-of-work</t>
        </is>
      </c>
      <c r="B32" s="32" t="inlineStr">
        <is>
          <t>https://jonathan-harris.online/ebooks/the-artificial-intelligence-job-shift-navigating-the-future-of-work/</t>
        </is>
      </c>
      <c r="C32" s="32" t="inlineStr">
        <is>
          <t>https://jonathan-harris.online/ebooks/the-artificial-intelligence-job-shift-navigating-the-future-of-work/buy-now</t>
        </is>
      </c>
      <c r="D32" s="32" t="inlineStr">
        <is>
          <t>https://mybook.to/aijobshift</t>
        </is>
      </c>
      <c r="E32" s="32" t="inlineStr">
        <is>
          <t>https://jonathan-harris.online/book/the-artificial-intelligence-job-shift-navigating-the-future-of-work/buy-now</t>
        </is>
      </c>
      <c r="F32" s="31" t="n"/>
      <c r="G32" s="31" t="inlineStr">
        <is>
          <t>B0DMQHQTQH</t>
        </is>
      </c>
      <c r="H32" s="33" t="n">
        <v>315</v>
      </c>
      <c r="I32" s="34" t="n">
        <v>45607</v>
      </c>
      <c r="J32" s="32" t="inlineStr">
        <is>
          <t>https://images.jonathan-harris.online/artificial-intelligence-job-shift-webp</t>
        </is>
      </c>
      <c r="K32" s="2" t="n"/>
      <c r="L32" s="2" t="n"/>
      <c r="M32" s="2" t="n"/>
      <c r="N32" s="2" t="n"/>
      <c r="O32" s="2" t="n"/>
      <c r="P32" s="2" t="n"/>
      <c r="Q32" s="2" t="n"/>
      <c r="R32" s="2" t="n"/>
      <c r="S32" s="2" t="n"/>
      <c r="T32" s="2" t="n"/>
      <c r="U32" s="2" t="n"/>
      <c r="V32" s="2" t="n"/>
      <c r="W32" s="2" t="n"/>
      <c r="X32" s="2" t="n"/>
      <c r="Y32" s="2" t="n"/>
      <c r="Z32" s="2" t="n"/>
    </row>
    <row r="33" ht="15.75" customHeight="1" s="37">
      <c r="A33" s="31" t="inlineStr">
        <is>
          <t>the-artificial-intelligence-revolution-from-algorithms-to-consciousness</t>
        </is>
      </c>
      <c r="B33" s="32" t="inlineStr">
        <is>
          <t>https://jonathan-harris.online/ebooks/the-artificial-intelligence-revolution-from-algorithms-to-consciousness/</t>
        </is>
      </c>
      <c r="C33" s="32" t="inlineStr">
        <is>
          <t>https://jonathan-harris.online/ebooks/the-artificial-intelligence-revolution-from-algorithms-to-consciousness/buy-now</t>
        </is>
      </c>
      <c r="D33" s="32" t="inlineStr">
        <is>
          <t>https://mybook.to/YYLW</t>
        </is>
      </c>
      <c r="E33" s="32" t="inlineStr">
        <is>
          <t>https://jonathan-harris.online/book/the-artificial-intelligence-revolution-from-algorithms-to-consciousness/buy-now</t>
        </is>
      </c>
      <c r="F33" s="31" t="n"/>
      <c r="G33" s="31" t="inlineStr">
        <is>
          <t>B0DMYF3YH3</t>
        </is>
      </c>
      <c r="H33" s="33" t="n">
        <v>14</v>
      </c>
      <c r="I33" s="34" t="n">
        <v>45609</v>
      </c>
      <c r="J33" s="32" t="inlineStr">
        <is>
          <t>https://images.jonathan-harris.online/artificial-intelligence-revolution-algorithms-webp</t>
        </is>
      </c>
      <c r="K33" s="2" t="n"/>
      <c r="L33" s="2" t="n"/>
      <c r="M33" s="2" t="n"/>
      <c r="N33" s="2" t="n"/>
      <c r="O33" s="2" t="n"/>
      <c r="P33" s="2" t="n"/>
      <c r="Q33" s="2" t="n"/>
      <c r="R33" s="2" t="n"/>
      <c r="S33" s="2" t="n"/>
      <c r="T33" s="2" t="n"/>
      <c r="U33" s="2" t="n"/>
      <c r="V33" s="2" t="n"/>
      <c r="W33" s="2" t="n"/>
      <c r="X33" s="2" t="n"/>
      <c r="Y33" s="2" t="n"/>
      <c r="Z33" s="2" t="n"/>
    </row>
    <row r="34" ht="15.75" customHeight="1" s="37">
      <c r="A34" s="31" t="inlineStr">
        <is>
          <t>the-autonomous-revolution-artificial-intelligence-and-the-future-of-the-automotive-industry</t>
        </is>
      </c>
      <c r="B34" s="32" t="inlineStr">
        <is>
          <t>https://jonathan-harris.online/ebooks/the-autonomous-revolution-artificial-intelligence-and-the-future-of-the-automotive-industry/</t>
        </is>
      </c>
      <c r="C34" s="32" t="inlineStr">
        <is>
          <t>https://jonathan-harris.online/ebooks/the-autonomous-revolution-artificial-intelligence-and-the-future-of-the-automotive-industry/buy-now</t>
        </is>
      </c>
      <c r="D34" s="32" t="inlineStr">
        <is>
          <t>https://mybook.to/DS4Ag</t>
        </is>
      </c>
      <c r="E34" s="32" t="inlineStr">
        <is>
          <t>https://jonathan-harris.online/book/the-autonomous-revolution-artificial-intelligence-and-the-future-of-the-automotive-industry/buy-now</t>
        </is>
      </c>
      <c r="F34" s="31" t="n"/>
      <c r="G34" s="31" t="inlineStr">
        <is>
          <t>B0DMYQV1LY</t>
        </is>
      </c>
      <c r="H34" s="33" t="n">
        <v>324</v>
      </c>
      <c r="I34" s="34" t="n">
        <v>45609</v>
      </c>
      <c r="J34" s="32" t="inlineStr">
        <is>
          <t>https://images.jonathan-harris.online/autonomous-revolution-artificial-intelligence-webp</t>
        </is>
      </c>
      <c r="K34" s="2" t="n"/>
      <c r="L34" s="2" t="n"/>
      <c r="M34" s="2" t="n"/>
      <c r="N34" s="2" t="n"/>
      <c r="O34" s="2" t="n"/>
      <c r="P34" s="2" t="n"/>
      <c r="Q34" s="2" t="n"/>
      <c r="R34" s="2" t="n"/>
      <c r="S34" s="2" t="n"/>
      <c r="T34" s="2" t="n"/>
      <c r="U34" s="2" t="n"/>
      <c r="V34" s="2" t="n"/>
      <c r="W34" s="2" t="n"/>
      <c r="X34" s="2" t="n"/>
      <c r="Y34" s="2" t="n"/>
      <c r="Z34" s="2" t="n"/>
    </row>
    <row r="35" ht="15.75" customHeight="1" s="37">
      <c r="A35" s="31" t="inlineStr">
        <is>
          <t>the-dumbening-how-ai-is-reshaping-our-minds</t>
        </is>
      </c>
      <c r="B35" s="32" t="inlineStr">
        <is>
          <t>https://jonathan-harris.online/ebooks/the-dumbening-how-ai-is-reshaping-our-minds/</t>
        </is>
      </c>
      <c r="C35" s="32" t="inlineStr">
        <is>
          <t>https://jonathan-harris.online/ebooks/the-dumbening-how-ai-is-reshaping-our-minds/buy-now</t>
        </is>
      </c>
      <c r="D35" s="32" t="inlineStr">
        <is>
          <t>https://mybook.to/YcRiCRp</t>
        </is>
      </c>
      <c r="E35" s="32" t="inlineStr">
        <is>
          <t>https://jonathan-harris.online/book/the-dumbening-how-ai-is-reshaping-our-minds/buy-now</t>
        </is>
      </c>
      <c r="F35" s="31" t="n"/>
      <c r="G35" s="31" t="inlineStr">
        <is>
          <t>B0DMMVN17Z</t>
        </is>
      </c>
      <c r="H35" s="33" t="n">
        <v>277</v>
      </c>
      <c r="I35" s="34" t="n">
        <v>45606</v>
      </c>
      <c r="J35" s="32" t="inlineStr">
        <is>
          <t>https://images.jonathan-harris.online/ai-dumbening-reshaping-our-webp</t>
        </is>
      </c>
      <c r="K35" s="2" t="n"/>
      <c r="L35" s="2" t="n"/>
      <c r="M35" s="2" t="n"/>
      <c r="N35" s="2" t="n"/>
      <c r="O35" s="2" t="n"/>
      <c r="P35" s="2" t="n"/>
      <c r="Q35" s="2" t="n"/>
      <c r="R35" s="2" t="n"/>
      <c r="S35" s="2" t="n"/>
      <c r="T35" s="2" t="n"/>
      <c r="U35" s="2" t="n"/>
      <c r="V35" s="2" t="n"/>
      <c r="W35" s="2" t="n"/>
      <c r="X35" s="2" t="n"/>
      <c r="Y35" s="2" t="n"/>
      <c r="Z35" s="2" t="n"/>
    </row>
    <row r="36" ht="15.75" customHeight="1" s="37">
      <c r="A36" s="31" t="inlineStr">
        <is>
          <t>the-future-of-government-leveraging-ai-to-enhance-services-and-safeguard-information</t>
        </is>
      </c>
      <c r="B36" s="32" t="inlineStr">
        <is>
          <t>https://jonathan-harris.online/ebooks/the-future-of-government-leveraging-ai-to-enhance-services-and-safeguard-information/</t>
        </is>
      </c>
      <c r="C36" s="32" t="inlineStr">
        <is>
          <t>https://jonathan-harris.online/ebooks/the-future-of-government-leveraging-ai-to-enhance-services-and-safeguard-information/buy-now</t>
        </is>
      </c>
      <c r="D36" s="32" t="inlineStr">
        <is>
          <t>https://mybook.to/3TwcUA</t>
        </is>
      </c>
      <c r="E36" s="32" t="inlineStr">
        <is>
          <t>https://jonathan-harris.online/book/the-future-of-government-leveraging-ai-to-enhance-services-and-safeguard-information/buy-now</t>
        </is>
      </c>
      <c r="F36" s="31" t="n"/>
      <c r="G36" s="31" t="inlineStr">
        <is>
          <t>B0DM74CRSD</t>
        </is>
      </c>
      <c r="H36" s="33" t="n">
        <v>328</v>
      </c>
      <c r="I36" s="34" t="n">
        <v>45601</v>
      </c>
      <c r="J36" s="32" t="inlineStr">
        <is>
          <t>https://images.jonathan-harris.online/ai-government-enhance-services-webp</t>
        </is>
      </c>
      <c r="K36" s="2" t="n"/>
      <c r="L36" s="2" t="n"/>
      <c r="M36" s="2" t="n"/>
      <c r="N36" s="2" t="n"/>
      <c r="O36" s="2" t="n"/>
      <c r="P36" s="2" t="n"/>
      <c r="Q36" s="2" t="n"/>
      <c r="R36" s="2" t="n"/>
      <c r="S36" s="2" t="n"/>
      <c r="T36" s="2" t="n"/>
      <c r="U36" s="2" t="n"/>
      <c r="V36" s="2" t="n"/>
      <c r="W36" s="2" t="n"/>
      <c r="X36" s="2" t="n"/>
      <c r="Y36" s="2" t="n"/>
      <c r="Z36" s="2" t="n"/>
    </row>
    <row r="37" ht="15.75" customHeight="1" s="37">
      <c r="A37" s="31" t="inlineStr">
        <is>
          <t>the-house-always-knows-ai-gambling-and-the-ethics-of-personalized-gaming</t>
        </is>
      </c>
      <c r="B37" s="32" t="inlineStr">
        <is>
          <t>https://jonathan-harris.online/ebooks/the-house-always-knows-ai-gambling-and-the-ethics-of-personalized-gaming/</t>
        </is>
      </c>
      <c r="C37" s="32" t="inlineStr">
        <is>
          <t>https://jonathan-harris.online/ebooks/the-house-always-knows-ai-gambling-and-the-ethics-of-personalized-gaming/buy-now</t>
        </is>
      </c>
      <c r="D37" s="32" t="inlineStr">
        <is>
          <t>https://mybook.to/K7nVJGv</t>
        </is>
      </c>
      <c r="E37" s="32" t="inlineStr">
        <is>
          <t>https://jonathan-harris.online/book/the-house-always-knows-ai-gambling-and-the-ethics-of-personalized-gaming/buy-now</t>
        </is>
      </c>
      <c r="F37" s="31" t="n"/>
      <c r="G37" s="31" t="inlineStr">
        <is>
          <t>B0DY4PSD8Z</t>
        </is>
      </c>
      <c r="H37" s="33" t="n">
        <v>327</v>
      </c>
      <c r="I37" s="34" t="n">
        <v>45709</v>
      </c>
      <c r="J37" s="32" t="inlineStr">
        <is>
          <t>https://images.jonathan-harris.online/ai-house-always-knows-webp</t>
        </is>
      </c>
      <c r="K37" s="2" t="n"/>
      <c r="L37" s="2" t="n"/>
      <c r="M37" s="2" t="n"/>
      <c r="N37" s="2" t="n"/>
      <c r="O37" s="2" t="n"/>
      <c r="P37" s="2" t="n"/>
      <c r="Q37" s="2" t="n"/>
      <c r="R37" s="2" t="n"/>
      <c r="S37" s="2" t="n"/>
      <c r="T37" s="2" t="n"/>
      <c r="U37" s="2" t="n"/>
      <c r="V37" s="2" t="n"/>
      <c r="W37" s="2" t="n"/>
      <c r="X37" s="2" t="n"/>
      <c r="Y37" s="2" t="n"/>
      <c r="Z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237"/>
  <sheetViews>
    <sheetView workbookViewId="0">
      <selection activeCell="A1" sqref="A1"/>
    </sheetView>
  </sheetViews>
  <sheetFormatPr baseColWidth="8" defaultColWidth="12.63" defaultRowHeight="15" customHeight="1"/>
  <cols>
    <col width="21" customWidth="1" style="37" min="1" max="1"/>
    <col width="33.25" customWidth="1" style="37" min="2" max="2"/>
    <col width="29.75" customWidth="1" style="37" min="3" max="3"/>
    <col width="48.13" customWidth="1" style="37" min="4" max="5"/>
    <col width="15.75" customWidth="1" style="37" min="6" max="6"/>
    <col width="26.25" customWidth="1" style="37" min="7" max="7"/>
    <col width="29.75" customWidth="1" style="37" min="8" max="9"/>
    <col width="31.5" customWidth="1" style="37" min="10" max="10"/>
    <col width="48.13" customWidth="1" style="37" min="11" max="11"/>
    <col width="56.88" customWidth="1" style="37" min="12" max="12"/>
    <col width="39.38" customWidth="1" style="37" min="13" max="13"/>
    <col width="21" customWidth="1" style="37" min="14" max="14"/>
    <col width="15.75" customWidth="1" style="37" min="15" max="16"/>
    <col width="42" customWidth="1" style="37" min="17" max="17"/>
    <col width="43.75" customWidth="1" style="37" min="18" max="18"/>
    <col width="38.5" customWidth="1" style="37" min="19" max="19"/>
    <col width="12.25" customWidth="1" style="37" min="20" max="20"/>
    <col width="15.75" customWidth="1" style="37" min="21" max="21"/>
    <col width="12.25" customWidth="1" style="37" min="22" max="22"/>
    <col width="45.5" customWidth="1" style="37" min="23" max="24"/>
    <col width="24.5" customWidth="1" style="37" min="25" max="25"/>
    <col width="36.75" customWidth="1" style="37" min="26" max="26"/>
    <col width="45.5" customWidth="1" style="37" min="27" max="27"/>
  </cols>
  <sheetData>
    <row r="1" ht="24" customHeight="1" s="37">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7">
      <c r="A2" s="3" t="inlineStr">
        <is>
          <t>ai-and-formula-1-redefining-speed-and-strategy-with-intelligent-technology</t>
        </is>
      </c>
      <c r="B2" s="3" t="inlineStr">
        <is>
          <t>AI and Formula 1: Redefining Speed and Strategy with Intelligent Technology</t>
        </is>
      </c>
      <c r="C2" s="3" t="inlineStr">
        <is>
          <t>A plain-English guide to AI in Formula 1, focused on practical use, trade-offs, and sharper questions.</t>
        </is>
      </c>
      <c r="D2" s="3" t="inlineStr">
        <is>
          <t>A guide to AI in Formula 1 — real-time strategy optimisation, predictive analytics, and how intelligent technology is transforming racing.</t>
        </is>
      </c>
      <c r="E2" s="3"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3" t="inlineStr">
        <is>
          <t>Transportation</t>
        </is>
      </c>
      <c r="G2" s="3" t="inlineStr">
        <is>
          <t>Transportation | Artificial Intelligence | AI Trends | AI in Sports</t>
        </is>
      </c>
      <c r="H2" s="3" t="inlineStr">
        <is>
          <t>Transportation | AI and Formula 1: Redefining Speed and Strategy with Intelligent Technology | AI Trends | Artificial Intelligence | AI in Sports</t>
        </is>
      </c>
      <c r="I2" s="3" t="inlineStr">
        <is>
          <t>Readers who want a grounded, non-technical view of AI in Formula 1, including operators, planners, analysts, product teams, and readers tracking mobility systems.</t>
        </is>
      </c>
      <c r="J2" s="3" t="inlineStr">
        <is>
          <t>Best for people weighing real adoption choices in Formula 1. It is written for operators, planners, analysts, product teams, and readers tracking mobility systems who want practical context rather than brochure copy.</t>
        </is>
      </c>
      <c r="K2" s="3" t="inlineStr">
        <is>
          <t>It covers the main use cases, the workflow and data changes behind them, the claims worth taking seriously, and the governance questions that show up once AI starts steering decisions in Formula 1.</t>
        </is>
      </c>
      <c r="L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3" t="inlineStr">
        <is>
          <t>Because decisions in Formula 1 affect safety, throughput, reliability, and emissions. Once AI enters the loop, sloppy assumptions get expensive very quickly.</t>
        </is>
      </c>
      <c r="N2" s="3" t="inlineStr">
        <is>
          <t>Plain-English, practical, sceptical, no-hype</t>
        </is>
      </c>
      <c r="O2" s="3" t="inlineStr">
        <is>
          <t>Jonathan Harris</t>
        </is>
      </c>
      <c r="P2" s="3" t="inlineStr">
        <is>
          <t>JH-AI-EBOOK-01</t>
        </is>
      </c>
      <c r="Q2" s="3" t="inlineStr">
        <is>
          <t>01. AI and Formula 1.pdf</t>
        </is>
      </c>
      <c r="R2" s="3" t="inlineStr">
        <is>
          <t>AI and Formula 1: Redefining Speed and Strategy with Intelligent Technology</t>
        </is>
      </c>
      <c r="S2" s="3" t="inlineStr">
        <is>
          <t>Aligned</t>
        </is>
      </c>
      <c r="T2" s="3" t="inlineStr">
        <is>
          <t>B0DQHSD858</t>
        </is>
      </c>
      <c r="U2" s="3" t="n">
        <v>227</v>
      </c>
      <c r="V2" s="36" t="n">
        <v>45640</v>
      </c>
      <c r="W2" s="3" t="inlineStr">
        <is>
          <t>https://jonathan-harris.online/ebooks/ai-and-formula-1-redefining-speed-and-strategy-with-intelligent-technology/</t>
        </is>
      </c>
      <c r="X2" s="3" t="inlineStr">
        <is>
          <t>https://jonathan-harris.online/ebooks/ai-and-formula-1-redefining-speed-and-strategy-with-intelligent-technology/buy-now</t>
        </is>
      </c>
      <c r="Y2" s="3" t="inlineStr">
        <is>
          <t>https://mybook.to/Gi93rOF</t>
        </is>
      </c>
      <c r="Z2" s="3" t="inlineStr">
        <is>
          <t>https://images.jonathan-harris.online/ai-formula-speed-webp</t>
        </is>
      </c>
      <c r="AA2" s="3" t="inlineStr">
        <is>
          <t>https://jonathan-harris.online/book/ai-and-formula-1-redefining-speed-and-strategy-with-intelligent-technology/buy-now</t>
        </is>
      </c>
    </row>
    <row r="3" ht="42" customHeight="1" s="37">
      <c r="A3" s="3" t="inlineStr">
        <is>
          <t>artificial-intelligence-in-veterinary-medicine-transforming-animal-healthcare-through-innovation</t>
        </is>
      </c>
      <c r="B3" s="3" t="inlineStr">
        <is>
          <t>Artificial Intelligence in Veterinary Medicine: Transforming Animal Healthcare Through Innovation</t>
        </is>
      </c>
      <c r="C3" s="3" t="inlineStr">
        <is>
          <t>A grounded look at AI in Veterinary Medicine, covering what works, what wobbles, and what matters in practice.</t>
        </is>
      </c>
      <c r="D3" s="3" t="inlineStr">
        <is>
          <t>Artificial intelligence transforms veterinary care with diagnostic tools, predictive health monitoring, and personalized treatments.</t>
        </is>
      </c>
      <c r="E3" s="3"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3" t="inlineStr">
        <is>
          <t>Healthcare</t>
        </is>
      </c>
      <c r="G3" s="3" t="inlineStr">
        <is>
          <t>Healthcare | Artificial Intelligence | AI Trends</t>
        </is>
      </c>
      <c r="H3" s="3" t="inlineStr">
        <is>
          <t>Healthcare | Artificial Intelligence in Veterinary Medicine: Transforming Animal Healthcare Through Innovation | AI Trends | Artificial Intelligence</t>
        </is>
      </c>
      <c r="I3" s="3" t="inlineStr">
        <is>
          <t>A clear, no-hype briefing on AI in Veterinary Medicine for clinicians, healthcare managers, founders, analysts, and readers tracking care delivery.</t>
        </is>
      </c>
      <c r="J3" s="3" t="inlineStr">
        <is>
          <t>Written for clinicians, healthcare managers, founders, analysts, and readers tracking care delivery who need a clearer read on what AI can and cannot do in Veterinary Medicine, without wading through technical theatre.</t>
        </is>
      </c>
      <c r="K3" s="3" t="inlineStr">
        <is>
          <t>It maps the practical applications, the operational pinch points, the decision workflows, and the reliability questions that appear when AI moves from demo to deployment in Veterinary Medicine.</t>
        </is>
      </c>
      <c r="L3"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3" t="inlineStr">
        <is>
          <t>Veterinary Medicine is one of those areas where AI can help, but only if the claims survive contact with outcomes, safety, workload, and trust. That is where this book keeps its attention.</t>
        </is>
      </c>
      <c r="N3" s="3" t="inlineStr">
        <is>
          <t>Plain-English, practical, sceptical, no-hype</t>
        </is>
      </c>
      <c r="O3" s="3" t="inlineStr">
        <is>
          <t>Jonathan Harris</t>
        </is>
      </c>
      <c r="P3" s="3" t="inlineStr">
        <is>
          <t>JH-AI-EBOOK-17</t>
        </is>
      </c>
      <c r="Q3" s="3" t="inlineStr">
        <is>
          <t>17. Artificial Intelligence in Veterinary Medicine.pdf</t>
        </is>
      </c>
      <c r="R3" s="3" t="inlineStr">
        <is>
          <t>Artificial Intelligence in Veterinary Medicine: Transforming Animal Healthcare Through Innovation</t>
        </is>
      </c>
      <c r="S3" s="3" t="inlineStr">
        <is>
          <t>Aligned</t>
        </is>
      </c>
      <c r="T3" s="3" t="inlineStr">
        <is>
          <t>B0DQK6C563</t>
        </is>
      </c>
      <c r="U3" s="3" t="n">
        <v>205</v>
      </c>
      <c r="V3" s="36" t="n">
        <v>45641</v>
      </c>
      <c r="W3" s="3" t="inlineStr">
        <is>
          <t>https://jonathan-harris.online/ebooks/artificial-intelligence-in-veterinary-medicine-transforming-animal-healthcare-through-innovation/</t>
        </is>
      </c>
      <c r="X3" s="3" t="inlineStr">
        <is>
          <t>https://jonathan-harris.online/ebooks/artificial-intelligence-in-veterinary-medicine-transforming-animal-healthcare-through-innovation/buy-now</t>
        </is>
      </c>
      <c r="Y3" s="3" t="inlineStr">
        <is>
          <t>https://mybook.to/SOjUE</t>
        </is>
      </c>
      <c r="Z3" s="3" t="inlineStr">
        <is>
          <t>https://images.jonathan-harris.online/artificial-intelligence-veterinary-medicine-webp</t>
        </is>
      </c>
      <c r="AA3" s="3" t="inlineStr">
        <is>
          <t>https://jonathan-harris.online/book/artificial-intelligence-in-veterinary-medicine-transforming-animal-healthcare-through-innovation/buy-now</t>
        </is>
      </c>
    </row>
    <row r="4" ht="42" customHeight="1" s="37">
      <c r="A4" s="3" t="inlineStr">
        <is>
          <t>ai-powered-smart-grid-revolutionizing-electricity-distribution-and-generation</t>
        </is>
      </c>
      <c r="B4" s="3" t="inlineStr">
        <is>
          <t>AI-Powered Smart Grid: Revolutionizing Electricity Distribution and Generation</t>
        </is>
      </c>
      <c r="C4" s="3" t="inlineStr">
        <is>
          <t>A no-hype introduction to AI in Smart Grid, built around real applications, limits, and better judgement.</t>
        </is>
      </c>
      <c r="D4" s="3" t="inlineStr">
        <is>
          <t>Artificial intelligence optimizes smart grids, enhancing energy efficiency, predicting demand, and integrating renewables for sustainable electricity.</t>
        </is>
      </c>
      <c r="E4" s="3"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3" t="inlineStr">
        <is>
          <t>Energy</t>
        </is>
      </c>
      <c r="G4" s="3" t="inlineStr">
        <is>
          <t>Energy | Artificial Intelligence | AI Trends</t>
        </is>
      </c>
      <c r="H4" s="3" t="inlineStr">
        <is>
          <t>Energy | AI-Powered Smart Grid: Revolutionizing Electricity Distribution and Generation | AI Trends | Artificial Intelligence</t>
        </is>
      </c>
      <c r="I4" s="3" t="inlineStr">
        <is>
          <t>A practical overview of AI in Smart Grid for grid operators, infrastructure planners, policy teams, and readers tracking energy systems.</t>
        </is>
      </c>
      <c r="J4" s="3" t="inlineStr">
        <is>
          <t>Suits readers who want to understand how AI changes Smart Grid in practice, especially grid operators, infrastructure planners, policy teams, and readers tracking energy systems looking for grounded examples and fewer slogans.</t>
        </is>
      </c>
      <c r="K4" s="3" t="inlineStr">
        <is>
          <t>It shows where AI fits inside Smart Grid, what has to change underneath for it to work, where the risks hide, and which outcomes are realistic rather than merely well-marketed.</t>
        </is>
      </c>
      <c r="L4" s="3"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3" t="inlineStr">
        <is>
          <t>AI is not arriving in Smart Grid as a parlour trick. It changes how organisations handle grid reliability, cost, resilience, and decarbonisation, so the boring details matter more than the slogans.</t>
        </is>
      </c>
      <c r="N4" s="3" t="inlineStr">
        <is>
          <t>Plain-English, practical, sceptical, no-hype</t>
        </is>
      </c>
      <c r="O4" s="3" t="inlineStr">
        <is>
          <t>Jonathan Harris</t>
        </is>
      </c>
      <c r="P4" s="3" t="inlineStr">
        <is>
          <t>JH-AI-EBOOK-06</t>
        </is>
      </c>
      <c r="Q4" s="3" t="inlineStr">
        <is>
          <t>07 .Revolutionizing Electricity Distribution and Generation.pdf</t>
        </is>
      </c>
      <c r="R4" s="3" t="inlineStr">
        <is>
          <t>AI-Powered Smart Grid: Revolutionizing Electricity Distribution and Generation</t>
        </is>
      </c>
      <c r="S4" s="3" t="inlineStr">
        <is>
          <t>Aligned</t>
        </is>
      </c>
      <c r="T4" s="3" t="inlineStr">
        <is>
          <t>B0DMKFZ3W3</t>
        </is>
      </c>
      <c r="U4" s="3" t="n">
        <v>338</v>
      </c>
      <c r="V4" s="36" t="n">
        <v>45604</v>
      </c>
      <c r="W4" s="3" t="inlineStr">
        <is>
          <t>https://jonathan-harris.online/ebooks/ai-powered-smart-grid-revolutionizing-electricity-distribution-and-generation/</t>
        </is>
      </c>
      <c r="X4" s="3" t="inlineStr">
        <is>
          <t>https://jonathan-harris.online/ebooks/ai-powered-smart-grid-revolutionizing-electricity-distribution-and-generation/buy-now</t>
        </is>
      </c>
      <c r="Y4" s="3" t="inlineStr">
        <is>
          <t>https://mybook.to/sntL</t>
        </is>
      </c>
      <c r="Z4" s="3" t="inlineStr">
        <is>
          <t>https://images.jonathan-harris.online/ai-smart-grid-electricity-webp</t>
        </is>
      </c>
      <c r="AA4" s="3" t="inlineStr">
        <is>
          <t>https://jonathan-harris.online/book/ai-powered-smart-grid-revolutionizing-electricity-distribution-and-generation/buy-now</t>
        </is>
      </c>
    </row>
    <row r="5" ht="42" customHeight="1" s="37">
      <c r="A5" s="3" t="inlineStr">
        <is>
          <t>artificial-intelligence-in-logistics-optimizing-efficiency-and-sustainability</t>
        </is>
      </c>
      <c r="B5" s="3" t="inlineStr">
        <is>
          <t>Artificial Intelligence in Logistics: Transforming Supply Chains for Efficiency and Sustainability</t>
        </is>
      </c>
      <c r="C5" s="3" t="inlineStr">
        <is>
          <t>A plain-English guide to AI in Logistics, focused on practical use, trade-offs, and sharper questions.</t>
        </is>
      </c>
      <c r="D5" s="3" t="inlineStr">
        <is>
          <t>Artificial intelligence streamlines logistics with route optimization, demand forecasting, and automated warehousing, reducing costs.</t>
        </is>
      </c>
      <c r="E5" s="3"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3" t="inlineStr">
        <is>
          <t>Transportation</t>
        </is>
      </c>
      <c r="G5" s="3" t="inlineStr">
        <is>
          <t>Transportation | Artificial Intelligence | AI Trends</t>
        </is>
      </c>
      <c r="H5" s="3" t="inlineStr">
        <is>
          <t>Transportation | Artificial Intelligence in Logistics: Transforming Supply Chains for Efficiency and Sustainability | AI Trends | Artificial Intelligence</t>
        </is>
      </c>
      <c r="I5" s="3" t="inlineStr">
        <is>
          <t>Readers who want a grounded, non-technical view of AI in Logistics, including operators, planners, analysts, product teams, and readers tracking mobility systems.</t>
        </is>
      </c>
      <c r="J5" s="3" t="inlineStr">
        <is>
          <t>Best for people weighing real adoption choices in Logistics. It is written for operators, planners, analysts, product teams, and readers tracking mobility systems who want practical context rather than brochure copy.</t>
        </is>
      </c>
      <c r="K5" s="3" t="inlineStr">
        <is>
          <t>It covers the main use cases, the workflow and data changes behind them, the claims worth taking seriously, and the governance questions that show up once AI starts steering decisions in Logistics.</t>
        </is>
      </c>
      <c r="L5"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3" t="inlineStr">
        <is>
          <t>Because decisions in Logistics affect safety, throughput, reliability, and emissions. Once AI enters the loop, sloppy assumptions get expensive very quickly.</t>
        </is>
      </c>
      <c r="N5" s="3" t="inlineStr">
        <is>
          <t>Plain-English, practical, sceptical, no-hype</t>
        </is>
      </c>
      <c r="O5" s="3" t="inlineStr">
        <is>
          <t>Jonathan Harris</t>
        </is>
      </c>
      <c r="P5" s="3" t="inlineStr">
        <is>
          <t>JH-AI-EBOOK-14</t>
        </is>
      </c>
      <c r="Q5" s="3" t="inlineStr">
        <is>
          <t>14. Artificial Intelligence in Logistics.pdf</t>
        </is>
      </c>
      <c r="R5" s="3" t="inlineStr">
        <is>
          <t>Artificial Intelligence in Logistics: Transforming Supply Chains for Efficiency and Sustainability</t>
        </is>
      </c>
      <c r="S5" s="3" t="inlineStr">
        <is>
          <t>Aligned</t>
        </is>
      </c>
      <c r="T5" s="3" t="inlineStr">
        <is>
          <t>B0DMQLK6LY</t>
        </is>
      </c>
      <c r="U5" s="3" t="n">
        <v>339</v>
      </c>
      <c r="V5" s="36" t="n">
        <v>45607</v>
      </c>
      <c r="W5" s="3" t="inlineStr">
        <is>
          <t>https://jonathan-harris.online/ebooks/artificial-intelligence-in-logistics-optimizing-efficiency-and-sustainability/</t>
        </is>
      </c>
      <c r="X5" s="3" t="inlineStr">
        <is>
          <t>https://jonathan-harris.online/ebooks/artificial-intelligence-in-logistics-optimizing-efficiency-and-sustainability/buy-now</t>
        </is>
      </c>
      <c r="Y5" s="3" t="inlineStr">
        <is>
          <t>https://mybook.to/zSKnSW</t>
        </is>
      </c>
      <c r="Z5" s="3" t="inlineStr">
        <is>
          <t>https://images.jonathan-harris.online/artificial-intelligence-logistics-webp</t>
        </is>
      </c>
      <c r="AA5" s="3" t="inlineStr">
        <is>
          <t>https://jonathan-harris.online/book/artificial-intelligence-in-logistics-optimizing-efficiency-and-sustainability/buy-now</t>
        </is>
      </c>
    </row>
    <row r="6" ht="42" customHeight="1" s="37">
      <c r="A6" s="3" t="inlineStr">
        <is>
          <t>artificial-intelligence-and-the-law-case-studies-and-future-trends</t>
        </is>
      </c>
      <c r="B6" s="3" t="inlineStr">
        <is>
          <t>Artificial Intelligence and the Law: Case Studies, Challenges, and Future Trends</t>
        </is>
      </c>
      <c r="C6" s="3" t="inlineStr">
        <is>
          <t>A grounded look at AI in law, covering what works, what wobbles, and what matters in practice.</t>
        </is>
      </c>
      <c r="D6" s="3" t="inlineStr">
        <is>
          <t>Explores AI's impact on legal practice through case studies, ethical dilemmas, and future trends in automated contracts and judicial decisions.</t>
        </is>
      </c>
      <c r="E6" s="3"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3" t="inlineStr">
        <is>
          <t>Law</t>
        </is>
      </c>
      <c r="G6" s="3" t="inlineStr">
        <is>
          <t>Law | Artificial Intelligence | AI Trends</t>
        </is>
      </c>
      <c r="H6" s="3" t="inlineStr">
        <is>
          <t>Law | Artificial Intelligence and the Law: Case Studies, Challenges, and Future Trends | AI Trends | Artificial Intelligence</t>
        </is>
      </c>
      <c r="I6" s="3" t="inlineStr">
        <is>
          <t>A clear, no-hype briefing on AI in law for lawyers, compliance teams, policy readers, and anyone tracking legal change.</t>
        </is>
      </c>
      <c r="J6" s="3" t="inlineStr">
        <is>
          <t>Written for lawyers, compliance teams, policy readers, and anyone tracking legal change who need a clearer read on what AI can and cannot do in law, without wading through technical theatre.</t>
        </is>
      </c>
      <c r="K6" s="3" t="inlineStr">
        <is>
          <t>It maps the practical applications, the operational pinch points, the decision workflows, and the reliability questions that appear when AI moves from demo to deployment in law.</t>
        </is>
      </c>
      <c r="L6" s="3"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3" t="inlineStr">
        <is>
          <t>Law is one of those areas where AI can help, but only if the claims survive contact with fairness, due process, liability, and access to justice. That is where this book keeps its attention.</t>
        </is>
      </c>
      <c r="N6" s="3" t="inlineStr">
        <is>
          <t>Plain-English, practical, sceptical, no-hype</t>
        </is>
      </c>
      <c r="O6" s="3" t="inlineStr">
        <is>
          <t>Jonathan Harris</t>
        </is>
      </c>
      <c r="P6" s="3" t="inlineStr">
        <is>
          <t>JH-AI-EBOOK-08</t>
        </is>
      </c>
      <c r="Q6" s="3" t="inlineStr">
        <is>
          <t>08. Artificial Intelligence and the Law.pdf</t>
        </is>
      </c>
      <c r="R6" s="3" t="inlineStr">
        <is>
          <t>Artificial Intelligence and the Law: Case Studies, Challenges, and Future Trends</t>
        </is>
      </c>
      <c r="S6" s="3" t="inlineStr">
        <is>
          <t>Aligned</t>
        </is>
      </c>
      <c r="T6" s="3" t="inlineStr">
        <is>
          <t>B0DQHTBSWJ</t>
        </is>
      </c>
      <c r="U6" s="3" t="n">
        <v>224</v>
      </c>
      <c r="V6" s="36" t="n">
        <v>45640</v>
      </c>
      <c r="W6" s="3" t="inlineStr">
        <is>
          <t>https://jonathan-harris.online/ebooks/artificial-intelligence-and-the-law-case-studies-and-future-trends/</t>
        </is>
      </c>
      <c r="X6" s="3" t="inlineStr">
        <is>
          <t>https://jonathan-harris.online/ebooks/artificial-intelligence-and-the-law-case-studies-and-future-trends/buy-now</t>
        </is>
      </c>
      <c r="Y6" s="3" t="inlineStr">
        <is>
          <t>https://mybook.to/bWpjeB</t>
        </is>
      </c>
      <c r="Z6" s="3" t="inlineStr">
        <is>
          <t>https://images.jonathan-harris.online/artificial-intelligence-law-webp</t>
        </is>
      </c>
      <c r="AA6" s="3" t="inlineStr">
        <is>
          <t>https://jonathan-harris.online/book/artificial-intelligence-and-the-law-case-studies-and-future-trends/buy-now</t>
        </is>
      </c>
    </row>
    <row r="7" ht="42" customHeight="1" s="37">
      <c r="A7" s="3" t="inlineStr">
        <is>
          <t>artificial-intelligence-for-cyber-security-a-practical-guide-to-data-breach-prevention</t>
        </is>
      </c>
      <c r="B7" s="3" t="inlineStr">
        <is>
          <t>Artificial Intelligence for Cyber Security: A Practical Guide to Data Breach Prevention</t>
        </is>
      </c>
      <c r="C7" s="3" t="inlineStr">
        <is>
          <t>A no-hype introduction to AI in Cyber Security, built around real applications, limits, and better judgement.</t>
        </is>
      </c>
      <c r="D7" s="3" t="inlineStr">
        <is>
          <t>A guide to using artificial intelligence for cybersecurity, using machine learning to detect threats, prevent breaches, and enhance data protection.</t>
        </is>
      </c>
      <c r="E7" s="3"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3" t="inlineStr">
        <is>
          <t>Cyber Security</t>
        </is>
      </c>
      <c r="G7" s="3" t="inlineStr">
        <is>
          <t>Cyber Security | Artificial Intelligence | AI Trends</t>
        </is>
      </c>
      <c r="H7" s="3" t="inlineStr">
        <is>
          <t>Cyber Security | Artificial Intelligence for Cyber Security: A Practical Guide to Data Breach Prevention | AI Trends | Artificial Intelligence</t>
        </is>
      </c>
      <c r="I7" s="3" t="inlineStr">
        <is>
          <t>A practical overview of AI in Cyber Security for security teams, risk managers, founders, and readers tracking digital defence.</t>
        </is>
      </c>
      <c r="J7" s="3" t="inlineStr">
        <is>
          <t>Suits readers who want to understand how AI changes Cyber Security in practice, especially security teams, risk managers, founders, and readers tracking digital defence looking for grounded examples and fewer slogans.</t>
        </is>
      </c>
      <c r="K7" s="3" t="inlineStr">
        <is>
          <t>It shows where AI fits inside Cyber Security, what has to change underneath for it to work, where the risks hide, and which outcomes are realistic rather than merely well-marketed.</t>
        </is>
      </c>
      <c r="L7" s="3"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3" t="inlineStr">
        <is>
          <t>AI is not arriving in Cyber Security as a parlour trick. It changes how organisations handle breach risk, response speed, and resilience, so the boring details matter more than the slogans.</t>
        </is>
      </c>
      <c r="N7" s="3" t="inlineStr">
        <is>
          <t>Plain-English, practical, sceptical, no-hype</t>
        </is>
      </c>
      <c r="O7" s="3" t="inlineStr">
        <is>
          <t>Jonathan Harris</t>
        </is>
      </c>
      <c r="P7" s="3" t="inlineStr">
        <is>
          <t>JH-AI-EBOOK-09</t>
        </is>
      </c>
      <c r="Q7" s="3" t="inlineStr">
        <is>
          <t>09. Artificial Intelligence of cyber security.pdf</t>
        </is>
      </c>
      <c r="R7" s="3" t="inlineStr">
        <is>
          <t>Artificial Intelligence for Cyber Security: Protecting Digital Assets with AI Innovation</t>
        </is>
      </c>
      <c r="S7" s="3" t="inlineStr">
        <is>
          <t>Workbook retained as canonical; align manuscript title page on next revision</t>
        </is>
      </c>
      <c r="T7" s="3" t="inlineStr">
        <is>
          <t>B0DN4GZZQ4</t>
        </is>
      </c>
      <c r="U7" s="3" t="n">
        <v>269</v>
      </c>
      <c r="V7" s="36" t="n">
        <v>45610</v>
      </c>
      <c r="W7" s="3" t="inlineStr">
        <is>
          <t>https://jonathan-harris.online/ebooks/artificial-intelligence-for-cyber-security-a-practical-guide-to-data-breach-prevention/</t>
        </is>
      </c>
      <c r="X7" s="3" t="inlineStr">
        <is>
          <t>https://jonathan-harris.online/ebooks/artificial-intelligence-for-cyber-security-a-practical-guide-to-data-breach-prevention/buy-now</t>
        </is>
      </c>
      <c r="Y7" s="3" t="inlineStr">
        <is>
          <t>https://mybook.to/9Wvf</t>
        </is>
      </c>
      <c r="Z7" s="3" t="inlineStr">
        <is>
          <t>https://images.jonathan-harris.online/artificial-intelligence-cyber-practical-webp</t>
        </is>
      </c>
      <c r="AA7" s="3" t="inlineStr">
        <is>
          <t>https://jonathan-harris.online/book/artificial-intelligence-for-cyber-security-a-practical-guide-to-data-breach-prevention/buy-now</t>
        </is>
      </c>
    </row>
    <row r="8" ht="42" customHeight="1" s="37">
      <c r="A8" s="3" t="inlineStr">
        <is>
          <t>the-artificial-intelligence-revolution-from-algorithms-to-consciousness</t>
        </is>
      </c>
      <c r="B8" s="3" t="inlineStr">
        <is>
          <t>The Artificial Intelligence Revolution: From Algorithms to Consciousness</t>
        </is>
      </c>
      <c r="C8" s="3" t="inlineStr">
        <is>
          <t>A plain-English guide to AI in artificial intelligence itself, focused on practical use, trade-offs, and sharper questions.</t>
        </is>
      </c>
      <c r="D8" s="3" t="inlineStr">
        <is>
          <t>Chronicles AI's evolution from basic algorithms to potential consciousness, exploring its technological, ethical, and societal implications.</t>
        </is>
      </c>
      <c r="E8" s="3"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3" t="inlineStr">
        <is>
          <t>Artificial Intelligence</t>
        </is>
      </c>
      <c r="G8" s="3" t="inlineStr">
        <is>
          <t>Artificial Intelligence | AI Trends</t>
        </is>
      </c>
      <c r="H8" s="3" t="inlineStr">
        <is>
          <t>Artificial Intelligence | The Artificial Intelligence Revolution: From Algorithms to Consciousness | AI Trends</t>
        </is>
      </c>
      <c r="I8" s="3" t="inlineStr">
        <is>
          <t>Readers who want a grounded, non-technical view of AI in artificial intelligence itself, including AI-curious readers, strategists, students, and anyone trying to separate substance from theatre.</t>
        </is>
      </c>
      <c r="J8" s="3" t="inlineStr">
        <is>
          <t>Best for people weighing real adoption choices in artificial intelligence itself. It is written for AI-curious readers, strategists, students, and anyone trying to separate substance from theatre who want practical context rather than brochure copy.</t>
        </is>
      </c>
      <c r="K8" s="3" t="inlineStr">
        <is>
          <t>It covers the main use cases, the workflow and data changes behind them, the claims worth taking seriously, and the governance questions that show up once AI starts steering decisions in artificial intelligence itself.</t>
        </is>
      </c>
      <c r="L8" s="3"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3" t="inlineStr">
        <is>
          <t>Because decisions in artificial intelligence itself affect how people judge the technology in the first place. Once AI enters the loop, sloppy assumptions get expensive very quickly.</t>
        </is>
      </c>
      <c r="N8" s="3" t="inlineStr">
        <is>
          <t>Plain-English, practical, sceptical, no-hype</t>
        </is>
      </c>
      <c r="O8" s="3" t="inlineStr">
        <is>
          <t>Jonathan Harris</t>
        </is>
      </c>
      <c r="P8" s="3" t="inlineStr">
        <is>
          <t>JH-AI-EBOOK-32</t>
        </is>
      </c>
      <c r="Q8" s="3" t="inlineStr">
        <is>
          <t>25. The Artificial Intelligence Revolution From Algorithms to Consciousness.pdf</t>
        </is>
      </c>
      <c r="R8" s="3" t="inlineStr">
        <is>
          <t>The Artificial Intelligence Revolution From Algorithms to Consciousness</t>
        </is>
      </c>
      <c r="S8" s="3" t="inlineStr">
        <is>
          <t>Minor punctuation/casing drift; workbook retained as canonical</t>
        </is>
      </c>
      <c r="T8" s="3" t="inlineStr">
        <is>
          <t>B0DMYF3YH3</t>
        </is>
      </c>
      <c r="U8" s="3" t="n">
        <v>14</v>
      </c>
      <c r="V8" s="36" t="n">
        <v>45609</v>
      </c>
      <c r="W8" s="3" t="inlineStr">
        <is>
          <t>https://jonathan-harris.online/ebooks/the-artificial-intelligence-revolution-from-algorithms-to-consciousness/</t>
        </is>
      </c>
      <c r="X8" s="3" t="inlineStr">
        <is>
          <t>https://jonathan-harris.online/ebooks/the-artificial-intelligence-revolution-from-algorithms-to-consciousness/buy-now</t>
        </is>
      </c>
      <c r="Y8" s="3" t="inlineStr">
        <is>
          <t>https://mybook.to/YYLW</t>
        </is>
      </c>
      <c r="Z8" s="3" t="inlineStr">
        <is>
          <t>https://images.jonathan-harris.online/artificial-intelligence-revolution-algorithms-webp</t>
        </is>
      </c>
      <c r="AA8" s="3" t="inlineStr">
        <is>
          <t>https://jonathan-harris.online/book/the-artificial-intelligence-revolution-from-algorithms-to-consciousness/buy-now</t>
        </is>
      </c>
    </row>
    <row r="9" ht="42" customHeight="1" s="37">
      <c r="A9" s="3" t="inlineStr">
        <is>
          <t>ai-in-aviation-transforming-safety-and-sustainability</t>
        </is>
      </c>
      <c r="B9" s="3" t="inlineStr">
        <is>
          <t>AI in Aviation: Transforming Safety and Sustainability</t>
        </is>
      </c>
      <c r="C9" s="3" t="inlineStr">
        <is>
          <t>A grounded look at AI in Aviation, covering what works, what wobbles, and what matters in practice.</t>
        </is>
      </c>
      <c r="D9" s="3" t="inlineStr">
        <is>
          <t>Artificial intelligence enhances aviation safety with predictive maintenance, air traffic optimization, and fuel-efficient flight.</t>
        </is>
      </c>
      <c r="E9" s="3"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3" t="inlineStr">
        <is>
          <t>Transportation</t>
        </is>
      </c>
      <c r="G9" s="3" t="inlineStr">
        <is>
          <t>Transportation | Artificial Intelligence | AI Trends</t>
        </is>
      </c>
      <c r="H9" s="3" t="inlineStr">
        <is>
          <t>Transportation | AI in Aviation: Transforming Safety and Sustainability | AI Trends | Artificial Intelligence</t>
        </is>
      </c>
      <c r="I9" s="3" t="inlineStr">
        <is>
          <t>A clear, no-hype briefing on AI in Aviation for operators, planners, analysts, product teams, and readers tracking mobility systems.</t>
        </is>
      </c>
      <c r="J9" s="3" t="inlineStr">
        <is>
          <t>Written for operators, planners, analysts, product teams, and readers tracking mobility systems who need a clearer read on what AI can and cannot do in Aviation, without wading through technical theatre.</t>
        </is>
      </c>
      <c r="K9" s="3" t="inlineStr">
        <is>
          <t>It maps the practical applications, the operational pinch points, the decision workflows, and the reliability questions that appear when AI moves from demo to deployment in Aviation.</t>
        </is>
      </c>
      <c r="L9"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3" t="inlineStr">
        <is>
          <t>Aviation is one of those areas where AI can help, but only if the claims survive contact with safety, throughput, reliability, and emissions. That is where this book keeps its attention.</t>
        </is>
      </c>
      <c r="N9" s="3" t="inlineStr">
        <is>
          <t>Plain-English, practical, sceptical, no-hype</t>
        </is>
      </c>
      <c r="O9" s="3" t="inlineStr">
        <is>
          <t>Jonathan Harris</t>
        </is>
      </c>
      <c r="P9" s="3" t="inlineStr">
        <is>
          <t>JH-AI-EBOOK-03</t>
        </is>
      </c>
      <c r="Q9" s="3" t="inlineStr">
        <is>
          <t>03. AI in Aviation.pdf</t>
        </is>
      </c>
      <c r="R9" s="3" t="inlineStr">
        <is>
          <t>AI in Aviation: Transforming Safety and Sustainability</t>
        </is>
      </c>
      <c r="S9" s="3" t="inlineStr">
        <is>
          <t>Aligned</t>
        </is>
      </c>
      <c r="T9" s="3" t="inlineStr">
        <is>
          <t>B0DMKTLMX6</t>
        </is>
      </c>
      <c r="U9" s="3" t="n">
        <v>284</v>
      </c>
      <c r="V9" s="36" t="n">
        <v>45605</v>
      </c>
      <c r="W9" s="3" t="inlineStr">
        <is>
          <t>https://jonathan-harris.online/ebooks/ai-in-aviation-transforming-safety-and-sustainability/</t>
        </is>
      </c>
      <c r="X9" s="3" t="inlineStr">
        <is>
          <t>https://jonathan-harris.online/ebooks/ai-in-aviation-transforming-safety-and-sustainability/buy-now</t>
        </is>
      </c>
      <c r="Y9" s="3" t="inlineStr">
        <is>
          <t>https://mybook.to/13VF</t>
        </is>
      </c>
      <c r="Z9" s="3" t="inlineStr">
        <is>
          <t>https://images.jonathan-harris.online/ai-aviation-safety-webp</t>
        </is>
      </c>
      <c r="AA9" s="3" t="inlineStr">
        <is>
          <t>https://jonathan-harris.online/book/ai-in-aviation-transforming-safety-and-sustainability/buy-now</t>
        </is>
      </c>
    </row>
    <row r="10" ht="42" customHeight="1" s="37">
      <c r="A10" s="3" t="inlineStr">
        <is>
          <t>ai-in-maritime-revolutionizing-shipping-for-sustainability</t>
        </is>
      </c>
      <c r="B10" s="3" t="inlineStr">
        <is>
          <t>AI in Maritime: Revolutionizing Shipping for Sustainability</t>
        </is>
      </c>
      <c r="C10" s="3" t="inlineStr">
        <is>
          <t>A no-hype introduction to AI in Maritime, built around real applications, limits, and better judgement.</t>
        </is>
      </c>
      <c r="D10" s="3" t="inlineStr">
        <is>
          <t>A guide to AI in maritime shipping — autonomous vessels, route optimisation, emissions tracking, and how intelligent technology is making global shipping more sustainable.</t>
        </is>
      </c>
      <c r="E10" s="3"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3" t="inlineStr">
        <is>
          <t>Transportation</t>
        </is>
      </c>
      <c r="G10" s="3" t="inlineStr">
        <is>
          <t>Transportation | Artificial Intelligence | AI Trends</t>
        </is>
      </c>
      <c r="H10" s="3" t="inlineStr">
        <is>
          <t>Transportation | AI in Maritime: Revolutionizing Shipping for Sustainability | AI Trends | Artificial Intelligence</t>
        </is>
      </c>
      <c r="I10" s="3" t="inlineStr">
        <is>
          <t>A practical overview of AI in Maritime for operators, planners, analysts, product teams, and readers tracking mobility systems.</t>
        </is>
      </c>
      <c r="J10" s="3" t="inlineStr">
        <is>
          <t>Suits readers who want to understand how AI changes Maritime in practice, especially operators, planners, analysts, product teams, and readers tracking mobility systems looking for grounded examples and fewer slogans.</t>
        </is>
      </c>
      <c r="K10" s="3" t="inlineStr">
        <is>
          <t>It shows where AI fits inside Maritime, what has to change underneath for it to work, where the risks hide, and which outcomes are realistic rather than merely well-marketed.</t>
        </is>
      </c>
      <c r="L10"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3" t="inlineStr">
        <is>
          <t>AI is not arriving in Maritime as a parlour trick. It changes how organisations handle safety, throughput, reliability, and emissions, so the boring details matter more than the slogans.</t>
        </is>
      </c>
      <c r="N10" s="3" t="inlineStr">
        <is>
          <t>Plain-English, practical, sceptical, no-hype</t>
        </is>
      </c>
      <c r="O10" s="3" t="inlineStr">
        <is>
          <t>Jonathan Harris</t>
        </is>
      </c>
      <c r="P10" s="3" t="inlineStr">
        <is>
          <t>JH-AI-EBOOK-05</t>
        </is>
      </c>
      <c r="Q10" s="3" t="inlineStr">
        <is>
          <t>05. AI in Maritime.pdf</t>
        </is>
      </c>
      <c r="R10" s="3" t="inlineStr">
        <is>
          <t>AI in Maritime: Revolutionizing Shipping for Sustainability</t>
        </is>
      </c>
      <c r="S10" s="3" t="inlineStr">
        <is>
          <t>Aligned</t>
        </is>
      </c>
      <c r="T10" s="3" t="inlineStr">
        <is>
          <t>B0DMMTGNDJ</t>
        </is>
      </c>
      <c r="U10" s="3" t="n">
        <v>312</v>
      </c>
      <c r="V10" s="36" t="n">
        <v>45606</v>
      </c>
      <c r="W10" s="3" t="inlineStr">
        <is>
          <t>https://jonathan-harris.online/ebooks/ai-in-maritime-revolutionizing-shipping-for-sustainability/</t>
        </is>
      </c>
      <c r="X10" s="3" t="inlineStr">
        <is>
          <t>https://jonathan-harris.online/ebooks/ai-in-maritime-revolutionizing-shipping-for-sustainability/buy-now</t>
        </is>
      </c>
      <c r="Y10" s="3" t="inlineStr">
        <is>
          <t>https://mybook.to/yANzV8</t>
        </is>
      </c>
      <c r="Z10" s="3" t="inlineStr">
        <is>
          <t>https://images.jonathan-harris.online/ai-maritime-shipping-webp</t>
        </is>
      </c>
      <c r="AA10" s="3" t="inlineStr">
        <is>
          <t>https://jonathan-harris.online/book/ai-in-maritime-revolutionizing-shipping-for-sustainability/buy-now</t>
        </is>
      </c>
    </row>
    <row r="11" ht="42" customHeight="1" s="37">
      <c r="A11" s="3" t="inlineStr">
        <is>
          <t>artificial-intelligence-in-pharmaceuticals-revolutionizing-healthcare</t>
        </is>
      </c>
      <c r="B11" s="3" t="inlineStr">
        <is>
          <t>Artificial Intelligence in Pharmaceuticals: Revolutionizing Healthcare</t>
        </is>
      </c>
      <c r="C11" s="3" t="inlineStr">
        <is>
          <t>A plain-English guide to AI in Pharmaceuticals, focused on practical use, trade-offs, and sharper questions.</t>
        </is>
      </c>
      <c r="D11" s="3" t="inlineStr">
        <is>
          <t>Artificial intelligence accelerates drug discovery, optimizes clinical trials, and personalizes treatments.</t>
        </is>
      </c>
      <c r="E11" s="3"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3" t="inlineStr">
        <is>
          <t>Healthcare</t>
        </is>
      </c>
      <c r="G11" s="3" t="inlineStr">
        <is>
          <t>Healthcare | Artificial Intelligence | AI Trends</t>
        </is>
      </c>
      <c r="H11" s="3" t="inlineStr">
        <is>
          <t>Healthcare | Artificial Intelligence in Pharmaceuticals: Revolutionizing Healthcare | AI Trends | Artificial Intelligence</t>
        </is>
      </c>
      <c r="I11" s="3" t="inlineStr">
        <is>
          <t>Readers who want a grounded, non-technical view of AI in Pharmaceuticals, including clinicians, healthcare managers, founders, analysts, and readers tracking care delivery.</t>
        </is>
      </c>
      <c r="J11" s="3" t="inlineStr">
        <is>
          <t>Best for people weighing real adoption choices in Pharmaceuticals. It is written for clinicians, healthcare managers, founders, analysts, and readers tracking care delivery who want practical context rather than brochure copy.</t>
        </is>
      </c>
      <c r="K11" s="3" t="inlineStr">
        <is>
          <t>It covers the main use cases, the workflow and data changes behind them, the claims worth taking seriously, and the governance questions that show up once AI starts steering decisions in Pharmaceuticals.</t>
        </is>
      </c>
      <c r="L11"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3" t="inlineStr">
        <is>
          <t>Because decisions in Pharmaceuticals affect outcomes, safety, workload, and trust. Once AI enters the loop, sloppy assumptions get expensive very quickly.</t>
        </is>
      </c>
      <c r="N11" s="3" t="inlineStr">
        <is>
          <t>Plain-English, practical, sceptical, no-hype</t>
        </is>
      </c>
      <c r="O11" s="3" t="inlineStr">
        <is>
          <t>Jonathan Harris</t>
        </is>
      </c>
      <c r="P11" s="3" t="inlineStr">
        <is>
          <t>JH-AI-EBOOK-15</t>
        </is>
      </c>
      <c r="Q11" s="3" t="inlineStr">
        <is>
          <t>15. Artificial intelligence in Pharmaceuticals.pdf</t>
        </is>
      </c>
      <c r="R11" s="3" t="inlineStr">
        <is>
          <t>Artificial intelligence in Pharmaceuticals: Revolutionizing Healthcare</t>
        </is>
      </c>
      <c r="S11" s="3" t="inlineStr">
        <is>
          <t>Minor punctuation/casing drift; workbook retained as canonical</t>
        </is>
      </c>
      <c r="T11" s="3" t="inlineStr">
        <is>
          <t>B0DN4XSLK9</t>
        </is>
      </c>
      <c r="U11" s="3" t="n">
        <v>328</v>
      </c>
      <c r="V11" s="36" t="n">
        <v>45610</v>
      </c>
      <c r="W11" s="3" t="inlineStr">
        <is>
          <t>https://jonathan-harris.online/ebooks/artificial-intelligence-in-pharmaceuticals-revolutionizing-healthcare/</t>
        </is>
      </c>
      <c r="X11" s="3" t="inlineStr">
        <is>
          <t>https://jonathan-harris.online/ebooks/artificial-intelligence-in-pharmaceuticals-revolutionizing-healthcare/buy-now</t>
        </is>
      </c>
      <c r="Y11" s="3" t="inlineStr">
        <is>
          <t>https://mybook.to/3cA8</t>
        </is>
      </c>
      <c r="Z11" s="3" t="inlineStr">
        <is>
          <t>https://images.jonathan-harris.online/artificial-intelligence-pharmaceuticals-revolutionizing-healthcare-webp</t>
        </is>
      </c>
      <c r="AA11" s="3" t="inlineStr">
        <is>
          <t>https://jonathan-harris.online/book/artificial-intelligence-in-pharmaceuticals-revolutionizing-healthcare/buy-now</t>
        </is>
      </c>
    </row>
    <row r="12" ht="42" customHeight="1" s="37">
      <c r="A12" s="3" t="inlineStr">
        <is>
          <t>the-autonomous-revolution-artificial-intelligence-and-the-future-of-the-automotive-industry</t>
        </is>
      </c>
      <c r="B12" s="3" t="inlineStr">
        <is>
          <t>The Autonomous Revolution: Artificial Intelligence and the Future of the Automotive Industry</t>
        </is>
      </c>
      <c r="C12" s="3" t="inlineStr">
        <is>
          <t>A grounded look at AI in the automotive industry, covering what works, what wobbles, and what matters in practice.</t>
        </is>
      </c>
      <c r="D12" s="3" t="inlineStr">
        <is>
          <t>A guide to AI in the automotive industry — autonomous vehicles, predictive maintenance, smart manufacturing, and how artificial intelligence is reshaping personal mobility.</t>
        </is>
      </c>
      <c r="E12" s="3"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3" t="inlineStr">
        <is>
          <t>Transportation</t>
        </is>
      </c>
      <c r="G12" s="3" t="inlineStr">
        <is>
          <t>Transportation | Artificial Intelligence | AI Trends</t>
        </is>
      </c>
      <c r="H12" s="3" t="inlineStr">
        <is>
          <t>Transportation | The Autonomous Revolution: Artificial Intelligence and the Future of the Automotive Industry | AI Trends | Artificial Intelligence</t>
        </is>
      </c>
      <c r="I12" s="3" t="inlineStr">
        <is>
          <t>A clear, no-hype briefing on AI in the automotive industry for operators, planners, analysts, product teams, and readers tracking mobility systems.</t>
        </is>
      </c>
      <c r="J12" s="3" t="inlineStr">
        <is>
          <t>Written for operators, planners, analysts, product teams, and readers tracking mobility systems who need a clearer read on what AI can and cannot do in the automotive industry, without wading through technical theatre.</t>
        </is>
      </c>
      <c r="K12" s="3" t="inlineStr">
        <is>
          <t>It maps the practical applications, the operational pinch points, the decision workflows, and the reliability questions that appear when AI moves from demo to deployment in the automotive industry.</t>
        </is>
      </c>
      <c r="L1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3" t="inlineStr">
        <is>
          <t>The automotive industry is one of those areas where AI can help, but only if the claims survive contact with safety, throughput, reliability, and emissions. That is where this book keeps its attention.</t>
        </is>
      </c>
      <c r="N12" s="3" t="inlineStr">
        <is>
          <t>Plain-English, practical, sceptical, no-hype</t>
        </is>
      </c>
      <c r="O12" s="3" t="inlineStr">
        <is>
          <t>Jonathan Harris</t>
        </is>
      </c>
      <c r="P12" s="3" t="inlineStr">
        <is>
          <t>JH-AI-EBOOK-33</t>
        </is>
      </c>
      <c r="Q12" s="3" t="inlineStr">
        <is>
          <t>26. The Autonomous Revolution.pdf</t>
        </is>
      </c>
      <c r="R12" s="3" t="inlineStr">
        <is>
          <t>The Autonomous Revolution: Artificial Intelligence and the Future of the Automotive Industry</t>
        </is>
      </c>
      <c r="S12" s="3" t="inlineStr">
        <is>
          <t>Aligned</t>
        </is>
      </c>
      <c r="T12" s="3" t="inlineStr">
        <is>
          <t>B0DMYQV1LY</t>
        </is>
      </c>
      <c r="U12" s="3" t="n">
        <v>324</v>
      </c>
      <c r="V12" s="36" t="n">
        <v>45609</v>
      </c>
      <c r="W12" s="3" t="inlineStr">
        <is>
          <t>https://jonathan-harris.online/ebooks/the-autonomous-revolution-artificial-intelligence-and-the-future-of-the-automotive-industry/</t>
        </is>
      </c>
      <c r="X12" s="3" t="inlineStr">
        <is>
          <t>https://jonathan-harris.online/ebooks/the-autonomous-revolution-artificial-intelligence-and-the-future-of-the-automotive-industry/buy-now</t>
        </is>
      </c>
      <c r="Y12" s="3" t="inlineStr">
        <is>
          <t>https://mybook.to/DS4Ag</t>
        </is>
      </c>
      <c r="Z12" s="3" t="inlineStr">
        <is>
          <t>https://images.jonathan-harris.online/autonomous-revolution-artificial-intelligence-webp</t>
        </is>
      </c>
      <c r="AA12" s="3" t="inlineStr">
        <is>
          <t>https://jonathan-harris.online/book/the-autonomous-revolution-artificial-intelligence-and-the-future-of-the-automotive-industry/buy-now</t>
        </is>
      </c>
    </row>
    <row r="13" ht="42" customHeight="1" s="37">
      <c r="A13" s="3" t="inlineStr">
        <is>
          <t>artificial-intelligence-powered-retail-revolutionizing-customer-experience-for-a-sustainable-future</t>
        </is>
      </c>
      <c r="B13" s="3" t="inlineStr">
        <is>
          <t>Artificial Intelligence Powered Retail: Revolutionizing Customer Experience for a Sustainable Future</t>
        </is>
      </c>
      <c r="C13" s="3" t="inlineStr">
        <is>
          <t>A no-hype introduction to AI in Retail, built around real applications, limits, and better judgement.</t>
        </is>
      </c>
      <c r="D13" s="3" t="inlineStr">
        <is>
          <t>A guide to AI in retail — personalisation, inventory optimisation, sustainable supply chains, and how intelligent systems are transforming the customer experience.</t>
        </is>
      </c>
      <c r="E13" s="3"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3" t="inlineStr">
        <is>
          <t>Retail</t>
        </is>
      </c>
      <c r="G13" s="3" t="inlineStr">
        <is>
          <t>Retail | Artificial Intelligence | AI Trends</t>
        </is>
      </c>
      <c r="H13" s="3" t="inlineStr">
        <is>
          <t>Retail | Artificial Intelligence Powered Retail: Revolutionizing Customer Experience for a Sustainable Future | AI Trends | Artificial Intelligence</t>
        </is>
      </c>
      <c r="I13" s="3" t="inlineStr">
        <is>
          <t>A practical overview of AI in Retail for retail operators, ecommerce teams, merchandisers, and readers tracking customer experience.</t>
        </is>
      </c>
      <c r="J13" s="3" t="inlineStr">
        <is>
          <t>Suits readers who want to understand how AI changes Retail in practice, especially retail operators, ecommerce teams, merchandisers, and readers tracking customer experience looking for grounded examples and fewer slogans.</t>
        </is>
      </c>
      <c r="K13" s="3" t="inlineStr">
        <is>
          <t>It shows where AI fits inside Retail, what has to change underneath for it to work, where the risks hide, and which outcomes are realistic rather than merely well-marketed.</t>
        </is>
      </c>
      <c r="L13" s="3"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3" t="inlineStr">
        <is>
          <t>AI is not arriving in Retail as a parlour trick. It changes how organisations handle margin, customer trust, and operational efficiency, so the boring details matter more than the slogans.</t>
        </is>
      </c>
      <c r="N13" s="3" t="inlineStr">
        <is>
          <t>Plain-English, practical, sceptical, no-hype</t>
        </is>
      </c>
      <c r="O13" s="3" t="inlineStr">
        <is>
          <t>Jonathan Harris</t>
        </is>
      </c>
      <c r="P13" s="3" t="inlineStr">
        <is>
          <t>JH-AI-EBOOK-18</t>
        </is>
      </c>
      <c r="Q13" s="3" t="inlineStr">
        <is>
          <t>18. Artificial Intelligence Powered Retail.pdf</t>
        </is>
      </c>
      <c r="R13" s="3" t="inlineStr">
        <is>
          <t>Artificial intelligence Powered Retail: Revolutionizing Customer Experience for a Sustainable Future</t>
        </is>
      </c>
      <c r="S13" s="3" t="inlineStr">
        <is>
          <t>Minor punctuation/casing drift; workbook retained as canonical</t>
        </is>
      </c>
      <c r="T13" s="3" t="inlineStr">
        <is>
          <t>B0DMYHW17M</t>
        </is>
      </c>
      <c r="U13" s="3" t="n">
        <v>234</v>
      </c>
      <c r="V13" s="36" t="n">
        <v>45609</v>
      </c>
      <c r="W13" s="3" t="inlineStr">
        <is>
          <t>https://jonathan-harris.online/ebooks/artificial-intelligence-powered-retail-revolutionizing-customer-experience-for-a-sustainable-future/</t>
        </is>
      </c>
      <c r="X13" s="3" t="inlineStr">
        <is>
          <t>https://jonathan-harris.online/ebooks/artificial-intelligence-powered-retail-revolutionizing-customer-experience-for-a-sustainable-future/buy-now</t>
        </is>
      </c>
      <c r="Y13" s="3" t="inlineStr">
        <is>
          <t>https://mybook.to/POYR</t>
        </is>
      </c>
      <c r="Z13" s="3" t="inlineStr">
        <is>
          <t>https://images.jonathan-harris.online/artificial-intelligence-retail-customer-webp</t>
        </is>
      </c>
      <c r="AA13" s="3" t="inlineStr">
        <is>
          <t>https://jonathan-harris.online/book/artificial-intelligence-powered-retail-revolutionizing-customer-experience-for-a-sustainable-future/buy-now</t>
        </is>
      </c>
    </row>
    <row r="14" ht="42" customHeight="1" s="37">
      <c r="A14" s="3" t="inlineStr">
        <is>
          <t>artificial-intelligence-revolution-in-manufacturing-modernizing-operations-maintenance-and-service-delivery</t>
        </is>
      </c>
      <c r="B14" s="3" t="inlineStr">
        <is>
          <t>Artificial Intelligence Revolution in Manufacturing: Modernizing Operations, Maintenance, and Service Delivery</t>
        </is>
      </c>
      <c r="C14" s="3" t="inlineStr">
        <is>
          <t>A plain-English guide to AI in Manufacturing, focused on practical use, trade-offs, and sharper questions.</t>
        </is>
      </c>
      <c r="D14" s="3" t="inlineStr">
        <is>
          <t>A guide to AI in manufacturing — predictive maintenance, automated production, optimised supply chains, and how intelligent operations are reshaping modern industry.</t>
        </is>
      </c>
      <c r="E14" s="3"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3" t="inlineStr">
        <is>
          <t>Manufacturing</t>
        </is>
      </c>
      <c r="G14" s="3" t="inlineStr">
        <is>
          <t>Manufacturing | Artificial Intelligence | AI Trends</t>
        </is>
      </c>
      <c r="H14" s="3" t="inlineStr">
        <is>
          <t>Manufacturing | Artificial Intelligence Revolution in Manufacturing: Modernizing Operations, Maintenance, and Service Delivery | AI Trends | Artificial Intelligence</t>
        </is>
      </c>
      <c r="I14" s="3" t="inlineStr">
        <is>
          <t>Readers who want a grounded, non-technical view of AI in Manufacturing, including operations leaders, plant teams, engineers, and readers tracking industrial automation.</t>
        </is>
      </c>
      <c r="J14" s="3" t="inlineStr">
        <is>
          <t>Best for people weighing real adoption choices in Manufacturing. It is written for operations leaders, plant teams, engineers, and readers tracking industrial automation who want practical context rather than brochure copy.</t>
        </is>
      </c>
      <c r="K14" s="3" t="inlineStr">
        <is>
          <t>It covers the main use cases, the workflow and data changes behind them, the claims worth taking seriously, and the governance questions that show up once AI starts steering decisions in Manufacturing.</t>
        </is>
      </c>
      <c r="L14" s="3"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3" t="inlineStr">
        <is>
          <t>Because decisions in Manufacturing affect uptime, throughput, quality, and worker safety. Once AI enters the loop, sloppy assumptions get expensive very quickly.</t>
        </is>
      </c>
      <c r="N14" s="3" t="inlineStr">
        <is>
          <t>Plain-English, practical, sceptical, no-hype</t>
        </is>
      </c>
      <c r="O14" s="3" t="inlineStr">
        <is>
          <t>Jonathan Harris</t>
        </is>
      </c>
      <c r="P14" s="3" t="inlineStr">
        <is>
          <t>JH-AI-EBOOK-19</t>
        </is>
      </c>
      <c r="Q14" s="3" t="inlineStr">
        <is>
          <t>19. Artificial Intelligence Revolution in Manufacturing Modernizing.pdf</t>
        </is>
      </c>
      <c r="R14" s="3" t="inlineStr">
        <is>
          <t>Artificial Intelligence Revolution in Manufacturing: Modernizing Operations, Maintenance, and Service Delivery</t>
        </is>
      </c>
      <c r="S14" s="3" t="inlineStr">
        <is>
          <t>Aligned</t>
        </is>
      </c>
      <c r="T14" s="3" t="inlineStr">
        <is>
          <t>B0DMV2Q6TF</t>
        </is>
      </c>
      <c r="U14" s="3" t="n">
        <v>369</v>
      </c>
      <c r="V14" s="36" t="n">
        <v>45608</v>
      </c>
      <c r="W14" s="3" t="inlineStr">
        <is>
          <t>https://jonathan-harris.online/ebooks/artificial-intelligence-revolution-in-manufacturing-modernizing-operations-maintenance-and-service-delivery/</t>
        </is>
      </c>
      <c r="X14" s="3" t="inlineStr">
        <is>
          <t>https://jonathan-harris.online/ebooks/artificial-intelligence-revolution-in-manufacturing-modernizing-operations-maintenance-and-service-delivery/buy-now</t>
        </is>
      </c>
      <c r="Y14" s="3" t="inlineStr">
        <is>
          <t>https://mybook.to/SOAEb</t>
        </is>
      </c>
      <c r="Z14" s="3" t="inlineStr">
        <is>
          <t>https://images.jonathan-harris.online/artificial-intelligence-revolution-manufacturing-webp</t>
        </is>
      </c>
      <c r="AA14" s="3" t="inlineStr">
        <is>
          <t>https://jonathan-harris.online/book/artificial-intelligence-revolution-in-manufacturing-modernizing-operations-maintenance-and-service-delivery/buy-now</t>
        </is>
      </c>
    </row>
    <row r="15" ht="42" customHeight="1" s="37">
      <c r="A15" s="3" t="inlineStr">
        <is>
          <t>artificial-intelligence-in-industry-a-comprehensive-guide</t>
        </is>
      </c>
      <c r="B15" s="3" t="inlineStr">
        <is>
          <t>Artificial Intelligence in Industry: A Comprehensive Guide</t>
        </is>
      </c>
      <c r="C15" s="3" t="inlineStr">
        <is>
          <t>A grounded look at AI in Industry, covering what works, what wobbles, and what matters in practice.</t>
        </is>
      </c>
      <c r="D15" s="3" t="inlineStr">
        <is>
          <t>A comprehensive guide to artificial intelligence applications across industries, covering automation, analytics, and ethical considerations.</t>
        </is>
      </c>
      <c r="E15" s="3"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3" t="inlineStr">
        <is>
          <t>Industry</t>
        </is>
      </c>
      <c r="G15" s="3" t="inlineStr">
        <is>
          <t>Industry | Artificial Intelligence | AI Trends</t>
        </is>
      </c>
      <c r="H15" s="3" t="inlineStr">
        <is>
          <t>Industry | Artificial Intelligence in Industry: A Comprehensive Guide | AI Trends | Artificial Intelligence</t>
        </is>
      </c>
      <c r="I15" s="3" t="inlineStr">
        <is>
          <t>A clear, no-hype briefing on AI in Industry for operations leaders, analysts, engineers, and readers tracking industrial change.</t>
        </is>
      </c>
      <c r="J15" s="3" t="inlineStr">
        <is>
          <t>Written for operations leaders, analysts, engineers, and readers tracking industrial change who need a clearer read on what AI can and cannot do in Industry, without wading through technical theatre.</t>
        </is>
      </c>
      <c r="K15" s="3" t="inlineStr">
        <is>
          <t>It maps the practical applications, the operational pinch points, the decision workflows, and the reliability questions that appear when AI moves from demo to deployment in Industry.</t>
        </is>
      </c>
      <c r="L15" s="3"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3" t="inlineStr">
        <is>
          <t>Industry is one of those areas where AI can help, but only if the claims survive contact with output, maintenance, labour, and reliability. That is where this book keeps its attention.</t>
        </is>
      </c>
      <c r="N15" s="3" t="inlineStr">
        <is>
          <t>Plain-English, practical, sceptical, no-hype</t>
        </is>
      </c>
      <c r="O15" s="3" t="inlineStr">
        <is>
          <t>Jonathan Harris</t>
        </is>
      </c>
      <c r="P15" s="3" t="inlineStr">
        <is>
          <t>JH-AI-EBOOK-13</t>
        </is>
      </c>
      <c r="Q15" s="3" t="inlineStr">
        <is>
          <t>13. Artificial Intelligence in Industry.pdf</t>
        </is>
      </c>
      <c r="R15" s="3" t="inlineStr">
        <is>
          <t>Artificial Intelligence in Industry: A Comprehensive Guide</t>
        </is>
      </c>
      <c r="S15" s="3" t="inlineStr">
        <is>
          <t>Aligned</t>
        </is>
      </c>
      <c r="T15" s="3" t="inlineStr">
        <is>
          <t>B0DMV47ZRL</t>
        </is>
      </c>
      <c r="U15" s="3" t="n">
        <v>347</v>
      </c>
      <c r="V15" s="36" t="n">
        <v>45608</v>
      </c>
      <c r="W15" s="3" t="inlineStr">
        <is>
          <t>https://jonathan-harris.online/ebooks/artificial-intelligence-in-industry-a-comprehensive-guide/</t>
        </is>
      </c>
      <c r="X15" s="3" t="inlineStr">
        <is>
          <t>https://jonathan-harris.online/ebooks/artificial-intelligence-in-industry-a-comprehensive-guide/buy-now</t>
        </is>
      </c>
      <c r="Y15" s="3" t="inlineStr">
        <is>
          <t>https://mybook.to/t2Au28</t>
        </is>
      </c>
      <c r="Z15" s="3" t="inlineStr">
        <is>
          <t>https://images.jonathan-harris.online/artificial-intelligence-industry-comprehensive-webp</t>
        </is>
      </c>
      <c r="AA15" s="3" t="inlineStr">
        <is>
          <t>https://jonathan-harris.online/book/artificial-intelligence-in-industry-a-comprehensive-guide/buy-now</t>
        </is>
      </c>
    </row>
    <row r="16" ht="42" customHeight="1" s="37">
      <c r="A16" s="3" t="inlineStr">
        <is>
          <t>the-dumbening-how-ai-is-reshaping-our-minds</t>
        </is>
      </c>
      <c r="B16" s="3" t="inlineStr">
        <is>
          <t>The Dumbening: How AI is Reshaping Our Minds</t>
        </is>
      </c>
      <c r="C16" s="3" t="inlineStr">
        <is>
          <t>A no-hype introduction to how AI shapes attention and thinking, built around real applications, limits, and better judgement.</t>
        </is>
      </c>
      <c r="D16" s="3" t="inlineStr">
        <is>
          <t>Examines AI's impact on cognition, exploring how automation and digital reliance may alter human thinking, creativity, and decision-making.</t>
        </is>
      </c>
      <c r="E16" s="3"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3" t="inlineStr">
        <is>
          <t>Ethics</t>
        </is>
      </c>
      <c r="G16" s="3" t="inlineStr">
        <is>
          <t>Ethics | Artificial Intelligence | AI Trends</t>
        </is>
      </c>
      <c r="H16" s="3" t="inlineStr">
        <is>
          <t>Ethics | The Dumbening: How AI is Reshaping Our Minds | AI Trends | Artificial Intelligence</t>
        </is>
      </c>
      <c r="I16" s="3" t="inlineStr">
        <is>
          <t>A practical overview of how AI shapes attention and thinking for policy readers, educators, sceptics, and anyone thinking about AI's social consequences.</t>
        </is>
      </c>
      <c r="J16" s="3" t="inlineStr">
        <is>
          <t>Suits readers who want to understand how AI shapes attention and thinking in practice, especially policy readers, educators, sceptics, and anyone thinking about AI's social consequences looking for grounded examples and fewer slogans.</t>
        </is>
      </c>
      <c r="K16" s="3" t="inlineStr">
        <is>
          <t>It shows how AI affects attention and thinking, what has to change underneath for it to work, where the risks hide, and which outcomes are realistic rather than merely well-marketed.</t>
        </is>
      </c>
      <c r="L16" s="3"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3" t="inlineStr">
        <is>
          <t>AI is not just arriving as a parlour trick. It changes attention, judgement, autonomy, and social trust, so the boring details matter more than the slogans.</t>
        </is>
      </c>
      <c r="N16" s="3" t="inlineStr">
        <is>
          <t>Plain-English, practical, sceptical, no-hype</t>
        </is>
      </c>
      <c r="O16" s="3" t="inlineStr">
        <is>
          <t>Jonathan Harris</t>
        </is>
      </c>
      <c r="P16" s="3" t="inlineStr">
        <is>
          <t>JH-AI-EBOOK-34</t>
        </is>
      </c>
      <c r="Q16" s="3" t="inlineStr">
        <is>
          <t>27. The Dumbening.pdf</t>
        </is>
      </c>
      <c r="R16" s="3" t="inlineStr">
        <is>
          <t>The Dumbening: How AI is Reshaping Our Minds</t>
        </is>
      </c>
      <c r="S16" s="3" t="inlineStr">
        <is>
          <t>Aligned</t>
        </is>
      </c>
      <c r="T16" s="3" t="inlineStr">
        <is>
          <t>B0DMMVN17Z</t>
        </is>
      </c>
      <c r="U16" s="3" t="n">
        <v>277</v>
      </c>
      <c r="V16" s="36" t="n">
        <v>45606</v>
      </c>
      <c r="W16" s="3" t="inlineStr">
        <is>
          <t>https://jonathan-harris.online/ebooks/the-dumbening-how-ai-is-reshaping-our-minds/</t>
        </is>
      </c>
      <c r="X16" s="3" t="inlineStr">
        <is>
          <t>https://jonathan-harris.online/ebooks/the-dumbening-how-ai-is-reshaping-our-minds/buy-now</t>
        </is>
      </c>
      <c r="Y16" s="3" t="inlineStr">
        <is>
          <t>https://mybook.to/YcRiCRp</t>
        </is>
      </c>
      <c r="Z16" s="3" t="inlineStr">
        <is>
          <t>https://images.jonathan-harris.online/ai-dumbening-reshaping-our-webp</t>
        </is>
      </c>
      <c r="AA16" s="3" t="inlineStr">
        <is>
          <t>https://jonathan-harris.online/book/the-dumbening-how-ai-is-reshaping-our-minds/buy-now</t>
        </is>
      </c>
    </row>
    <row r="17" ht="42" customHeight="1" s="37">
      <c r="A17" s="3" t="inlineStr">
        <is>
          <t>ai-in-agriculture-revolutionizing-farming-for-a-sustainable-future</t>
        </is>
      </c>
      <c r="B17" s="3" t="inlineStr">
        <is>
          <t>AI in Agriculture: Revolutionizing Farming for a Sustainable Future</t>
        </is>
      </c>
      <c r="C17" s="3" t="inlineStr">
        <is>
          <t>A plain-English guide to AI in Agriculture, focused on practical use, trade-offs, and sharper questions.</t>
        </is>
      </c>
      <c r="D17" s="3" t="inlineStr">
        <is>
          <t>Artificial intelligence transforms agriculture with precision farming, crop monitoring, and predictive analytics, enhancing yields and sustainability.</t>
        </is>
      </c>
      <c r="E17" s="3"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3" t="inlineStr">
        <is>
          <t>Agriculture</t>
        </is>
      </c>
      <c r="G17" s="3" t="inlineStr">
        <is>
          <t>Agriculture | Artificial Intelligence | AI Trends</t>
        </is>
      </c>
      <c r="H17" s="3" t="inlineStr">
        <is>
          <t>Agriculture | AI in Agriculture: Revolutionizing Farming for a Sustainable Future | AI Trends | Artificial Intelligence</t>
        </is>
      </c>
      <c r="I17" s="3" t="inlineStr">
        <is>
          <t>Readers who want a grounded, non-technical view of AI in Agriculture, including farm operators, ag-tech teams, sustainability readers, and policy-minded observers.</t>
        </is>
      </c>
      <c r="J17" s="3" t="inlineStr">
        <is>
          <t>Best for people weighing real adoption choices in Agriculture. It is written for farm operators, ag-tech teams, sustainability readers, and policy-minded observers who want practical context rather than brochure copy.</t>
        </is>
      </c>
      <c r="K17" s="3" t="inlineStr">
        <is>
          <t>It covers the main use cases, the workflow and data changes behind them, the claims worth taking seriously, and the governance questions that show up once AI starts steering decisions in Agriculture.</t>
        </is>
      </c>
      <c r="L17" s="3"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3" t="inlineStr">
        <is>
          <t>Because decisions in Agriculture affect yield, waste, labour pressure, and sustainability. Once AI enters the loop, sloppy assumptions get expensive very quickly.</t>
        </is>
      </c>
      <c r="N17" s="3" t="inlineStr">
        <is>
          <t>Plain-English, practical, sceptical, no-hype</t>
        </is>
      </c>
      <c r="O17" s="3" t="inlineStr">
        <is>
          <t>Jonathan Harris</t>
        </is>
      </c>
      <c r="P17" s="3" t="inlineStr">
        <is>
          <t>JH-AI-EBOOK-02</t>
        </is>
      </c>
      <c r="Q17" s="3" t="inlineStr">
        <is>
          <t>02. AI in Agriculture.pdf</t>
        </is>
      </c>
      <c r="R17" s="3" t="inlineStr">
        <is>
          <t>AI in Agriculture: Revolutionizing Farming for a Sustainable Future</t>
        </is>
      </c>
      <c r="S17" s="3" t="inlineStr">
        <is>
          <t>Aligned</t>
        </is>
      </c>
      <c r="T17" s="3" t="inlineStr">
        <is>
          <t>B0DMN32J3Y</t>
        </is>
      </c>
      <c r="U17" s="3" t="n">
        <v>330</v>
      </c>
      <c r="V17" s="36" t="n">
        <v>45606</v>
      </c>
      <c r="W17" s="3" t="inlineStr">
        <is>
          <t>https://jonathan-harris.online/ebooks/ai-in-agriculture-revolutionizing-farming-for-a-sustainable-future/</t>
        </is>
      </c>
      <c r="X17" s="3" t="inlineStr">
        <is>
          <t>https://jonathan-harris.online/ebooks/ai-in-agriculture-revolutionizing-farming-for-a-sustainable-future/buy-now</t>
        </is>
      </c>
      <c r="Y17" s="3" t="inlineStr">
        <is>
          <t>https://mybook.to/PsciMD5</t>
        </is>
      </c>
      <c r="Z17" s="3" t="inlineStr">
        <is>
          <t>https://images.jonathan-harris.online/ai-agriculture-farming-sustainable-webp</t>
        </is>
      </c>
      <c r="AA17" s="3" t="inlineStr">
        <is>
          <t>https://jonathan-harris.online/book/ai-in-agriculture-revolutionizing-farming-for-a-sustainable-future/buy-now</t>
        </is>
      </c>
    </row>
    <row r="18" ht="42" customHeight="1" s="37">
      <c r="A18" s="3" t="inlineStr">
        <is>
          <t>ai-in-education-reimagining-learning-for-every-student</t>
        </is>
      </c>
      <c r="B18" s="3" t="inlineStr">
        <is>
          <t>AI in Education: Reimagining Learning for Every Student</t>
        </is>
      </c>
      <c r="C18" s="3" t="inlineStr">
        <is>
          <t>A grounded look at AI in Education, covering what works, what wobbles, and what matters in practice.</t>
        </is>
      </c>
      <c r="D18" s="3" t="inlineStr">
        <is>
          <t>Artificial intelligence personalizes education with adaptive learning, automated grading, and virtual tutors, making education accessible.</t>
        </is>
      </c>
      <c r="E18" s="3"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3" t="inlineStr">
        <is>
          <t>Education</t>
        </is>
      </c>
      <c r="G18" s="3" t="inlineStr">
        <is>
          <t>Education | Artificial Intelligence | AI Trends</t>
        </is>
      </c>
      <c r="H18" s="3" t="inlineStr">
        <is>
          <t>Education | AI in Education: Reimagining Learning for Every Student | AI Trends | Artificial Intelligence</t>
        </is>
      </c>
      <c r="I18" s="3" t="inlineStr">
        <is>
          <t>A clear, no-hype briefing on AI in Education for teachers, school leaders, edtech teams, and readers tracking classroom change.</t>
        </is>
      </c>
      <c r="J18" s="3" t="inlineStr">
        <is>
          <t>Written for teachers, school leaders, edtech teams, and readers tracking classroom change who need a clearer read on what AI can and cannot do in Education, without wading through technical theatre.</t>
        </is>
      </c>
      <c r="K18" s="3" t="inlineStr">
        <is>
          <t>It maps the practical applications, the operational pinch points, the decision workflows, and the reliability questions that appear when AI moves from demo to deployment in Education.</t>
        </is>
      </c>
      <c r="L18" s="3"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3" t="inlineStr">
        <is>
          <t>Education is one of those areas where AI can help, but only if the claims survive contact with student outcomes, teacher workload, and equity. That is where this book keeps its attention.</t>
        </is>
      </c>
      <c r="N18" s="3" t="inlineStr">
        <is>
          <t>Plain-English, practical, sceptical, no-hype</t>
        </is>
      </c>
      <c r="O18" s="3" t="inlineStr">
        <is>
          <t>Jonathan Harris</t>
        </is>
      </c>
      <c r="P18" s="3" t="inlineStr">
        <is>
          <t>JH-AI-EBOOK-04</t>
        </is>
      </c>
      <c r="Q18" s="3" t="inlineStr">
        <is>
          <t>04. AI in Education.pdf</t>
        </is>
      </c>
      <c r="R18" s="3" t="inlineStr">
        <is>
          <t>AI in Education: Reimagining Learning for Every Student</t>
        </is>
      </c>
      <c r="S18" s="3" t="inlineStr">
        <is>
          <t>Aligned</t>
        </is>
      </c>
      <c r="T18" s="3" t="inlineStr">
        <is>
          <t>B0DMKXWQDK</t>
        </is>
      </c>
      <c r="U18" s="3" t="n">
        <v>323</v>
      </c>
      <c r="V18" s="36" t="n">
        <v>45605</v>
      </c>
      <c r="W18" s="3" t="inlineStr">
        <is>
          <t>https://jonathan-harris.online/ebooks/ai-in-education-reimagining-learning-for-every-student/</t>
        </is>
      </c>
      <c r="X18" s="3" t="inlineStr">
        <is>
          <t>https://jonathan-harris.online/ebooks/ai-in-education-reimagining-learning-for-every-student/buy-now</t>
        </is>
      </c>
      <c r="Y18" s="3" t="inlineStr">
        <is>
          <t>https://mybook.to/Ldhe41</t>
        </is>
      </c>
      <c r="Z18" s="3" t="inlineStr">
        <is>
          <t>https://images.jonathan-harris.online/ai-education-reimagining-learning-webp</t>
        </is>
      </c>
      <c r="AA18" s="3" t="inlineStr">
        <is>
          <t>https://jonathan-harris.online/book/ai-in-education-reimagining-learning-for-every-student/buy-now</t>
        </is>
      </c>
    </row>
    <row r="19" ht="42" customHeight="1" s="37">
      <c r="A19" s="3" t="inlineStr">
        <is>
          <t>artificial-intelligence-in-banking-revolutionizing-finance-and-data-security</t>
        </is>
      </c>
      <c r="B19" s="3" t="inlineStr">
        <is>
          <t>Artificial Intelligence in Banking: Revolutionizing Finance and Data Security</t>
        </is>
      </c>
      <c r="C19" s="3" t="inlineStr">
        <is>
          <t>A no-hype introduction to AI in Banking, built around real applications, limits, and better judgement.</t>
        </is>
      </c>
      <c r="D19" s="3" t="inlineStr">
        <is>
          <t>A guide to AI in banking — from fraud detection and personalised services to secure data management and regulatory compliance.</t>
        </is>
      </c>
      <c r="E19" s="3"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3" t="inlineStr">
        <is>
          <t>Finance</t>
        </is>
      </c>
      <c r="G19" s="3" t="inlineStr">
        <is>
          <t>Finance | Artificial Intelligence | AI Trends</t>
        </is>
      </c>
      <c r="H19" s="3" t="inlineStr">
        <is>
          <t>Finance | Artificial Intelligence in Banking: Revolutionizing Finance and Data Security | AI Trends | Artificial Intelligence</t>
        </is>
      </c>
      <c r="I19" s="3" t="inlineStr">
        <is>
          <t>A practical overview of AI in Banking for bankers, risk teams, fintech readers, and anyone tracking financial infrastructure.</t>
        </is>
      </c>
      <c r="J19" s="3" t="inlineStr">
        <is>
          <t>Suits readers who want to understand how AI changes Banking in practice, especially bankers, risk teams, fintech readers, and anyone tracking financial infrastructure looking for grounded examples and fewer slogans.</t>
        </is>
      </c>
      <c r="K19" s="3" t="inlineStr">
        <is>
          <t>It shows where AI fits inside Banking, what has to change underneath for it to work, where the risks hide, and which outcomes are realistic rather than merely well-marketed.</t>
        </is>
      </c>
      <c r="L19" s="3"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3" t="inlineStr">
        <is>
          <t>AI is not arriving in Banking as a parlour trick. It changes how organisations handle risk, fraud, compliance, and customer trust, so the boring details matter more than the slogans.</t>
        </is>
      </c>
      <c r="N19" s="3" t="inlineStr">
        <is>
          <t>Plain-English, practical, sceptical, no-hype</t>
        </is>
      </c>
      <c r="O19" s="3" t="inlineStr">
        <is>
          <t>Jonathan Harris</t>
        </is>
      </c>
      <c r="P19" s="3" t="inlineStr">
        <is>
          <t>JH-AI-EBOOK-11</t>
        </is>
      </c>
      <c r="Q19" s="3" t="inlineStr">
        <is>
          <t>11. Artificial Intelligence in Banking Revolutionizing Finance and Data Security.pdf</t>
        </is>
      </c>
      <c r="R19" s="3" t="inlineStr">
        <is>
          <t>Artificial Intelligence in Banking: Revolutionizing Finance and Data Security</t>
        </is>
      </c>
      <c r="S19" s="3" t="inlineStr">
        <is>
          <t>Aligned</t>
        </is>
      </c>
      <c r="T19" s="3" t="inlineStr">
        <is>
          <t>B0DML75B3C</t>
        </is>
      </c>
      <c r="U19" s="3" t="n">
        <v>286</v>
      </c>
      <c r="V19" s="36" t="n">
        <v>45605</v>
      </c>
      <c r="W19" s="3" t="inlineStr">
        <is>
          <t>https://jonathan-harris.online/ebooks/artificial-intelligence-in-banking-revolutionizing-finance-and-data-security/</t>
        </is>
      </c>
      <c r="X19" s="3" t="inlineStr">
        <is>
          <t>https://jonathan-harris.online/ebooks/artificial-intelligence-in-banking-revolutionizing-finance-and-data-security/buy-now</t>
        </is>
      </c>
      <c r="Y19" s="3" t="inlineStr">
        <is>
          <t>https://mybook.to/8VjT</t>
        </is>
      </c>
      <c r="Z19" s="3" t="inlineStr">
        <is>
          <t>https://images.jonathan-harris.online/artificial-intelligence-banking-finance-webp</t>
        </is>
      </c>
      <c r="AA19" s="3" t="inlineStr">
        <is>
          <t>https://jonathan-harris.online/book/artificial-intelligence-in-banking-revolutionizing-finance-and-data-security/buy-now</t>
        </is>
      </c>
    </row>
    <row r="20" ht="42" customHeight="1" s="37">
      <c r="A20" s="3" t="inlineStr">
        <is>
          <t>digital-diagnosis-how-ai-is-revolutionizing-healthcare</t>
        </is>
      </c>
      <c r="B20" s="3" t="inlineStr">
        <is>
          <t>Digital Diagnosis: How AI is Revolutionizing Healthcare</t>
        </is>
      </c>
      <c r="C20" s="3" t="inlineStr">
        <is>
          <t>A plain-English guide to AI in healthcare, focused on practical use, trade-offs, and sharper questions.</t>
        </is>
      </c>
      <c r="D20" s="3" t="inlineStr">
        <is>
          <t>Artificial intelligence transforms healthcare with diagnostic tools, predictive analytics, and personalized treatments, improving patient outcomes.</t>
        </is>
      </c>
      <c r="E20" s="3"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3" t="inlineStr">
        <is>
          <t>Healthcare</t>
        </is>
      </c>
      <c r="G20" s="3" t="inlineStr">
        <is>
          <t>Healthcare | Artificial Intelligence | AI Trends</t>
        </is>
      </c>
      <c r="H20" s="3" t="inlineStr">
        <is>
          <t>Healthcare | Digital Diagnosis: How AI is Revolutionizing Healthcare | AI Trends | Artificial Intelligence</t>
        </is>
      </c>
      <c r="I20" s="3" t="inlineStr">
        <is>
          <t>Readers who want a grounded, non-technical view of AI in healthcare, including clinicians, healthcare managers, founders, analysts, and readers tracking care delivery.</t>
        </is>
      </c>
      <c r="J20" s="3" t="inlineStr">
        <is>
          <t>Best for people weighing real adoption choices in healthcare. It is written for clinicians, healthcare managers, founders, analysts, and readers tracking care delivery who want practical context rather than brochure copy.</t>
        </is>
      </c>
      <c r="K20" s="3" t="inlineStr">
        <is>
          <t>It covers the main use cases, the workflow and data changes behind them, the claims worth taking seriously, and the governance questions that show up once AI starts steering decisions in healthcare.</t>
        </is>
      </c>
      <c r="L20"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3" t="inlineStr">
        <is>
          <t>Because decisions in healthcare affect outcomes, safety, workload, and trust. Once AI enters the loop, sloppy assumptions get expensive very quickly.</t>
        </is>
      </c>
      <c r="N20" s="3" t="inlineStr">
        <is>
          <t>Plain-English, practical, sceptical, no-hype</t>
        </is>
      </c>
      <c r="O20" s="3" t="inlineStr">
        <is>
          <t>Jonathan Harris</t>
        </is>
      </c>
      <c r="P20" s="3" t="inlineStr">
        <is>
          <t>JH-AI-EBOOK-23</t>
        </is>
      </c>
      <c r="Q20" s="3" t="inlineStr">
        <is>
          <t>22. Digital Diagnosis.pdf</t>
        </is>
      </c>
      <c r="R20" s="3" t="inlineStr">
        <is>
          <t>Digital Diagnosis: How AI is Revolutionizing Healthcare</t>
        </is>
      </c>
      <c r="S20" s="3" t="inlineStr">
        <is>
          <t>Aligned</t>
        </is>
      </c>
      <c r="T20" s="3" t="inlineStr">
        <is>
          <t>B0DM73FR3W</t>
        </is>
      </c>
      <c r="U20" s="3" t="n">
        <v>348</v>
      </c>
      <c r="V20" s="36" t="n">
        <v>45602</v>
      </c>
      <c r="W20" s="3" t="inlineStr">
        <is>
          <t>https://jonathan-harris.online/ebooks/digital-diagnosis-how-ai-is-revolutionizing-healthcare/</t>
        </is>
      </c>
      <c r="X20" s="3" t="inlineStr">
        <is>
          <t>https://jonathan-harris.online/ebooks/digital-diagnosis-how-ai-is-revolutionizing-healthcare/buy-now</t>
        </is>
      </c>
      <c r="Y20" s="3" t="inlineStr">
        <is>
          <t>https://mybook.to/hrnKOD</t>
        </is>
      </c>
      <c r="Z20" s="3" t="inlineStr">
        <is>
          <t>https://images.jonathan-harris.online/ai-digital-diagnosis-healthcare-webp</t>
        </is>
      </c>
      <c r="AA20" s="3" t="inlineStr">
        <is>
          <t>https://jonathan-harris.online/book/digital-diagnosis-how-ai-is-revolutionizing-healthcare/buy-now</t>
        </is>
      </c>
    </row>
    <row r="21" ht="42" customHeight="1" s="37">
      <c r="A21" s="3" t="inlineStr">
        <is>
          <t>artificial-intelligence-in-construction-building-a-sustainable-future</t>
        </is>
      </c>
      <c r="B21" s="3" t="inlineStr">
        <is>
          <t>Artificial Intelligence in Construction: Building a Sustainable Future</t>
        </is>
      </c>
      <c r="C21" s="3" t="inlineStr">
        <is>
          <t>A grounded look at AI in Construction, covering what works, what wobbles, and what matters in practice.</t>
        </is>
      </c>
      <c r="D21" s="3" t="inlineStr">
        <is>
          <t>Artificial intelligence optimizes construction with project planning, safety monitoring, and sustainable design, reducing costs.</t>
        </is>
      </c>
      <c r="E21" s="3"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3" t="inlineStr">
        <is>
          <t>Construction</t>
        </is>
      </c>
      <c r="G21" s="3" t="inlineStr">
        <is>
          <t>Construction | Artificial Intelligence | AI Trends</t>
        </is>
      </c>
      <c r="H21" s="3" t="inlineStr">
        <is>
          <t>Construction | Artificial Intelligence in Construction: Building a Sustainable Future | AI Trends | Artificial Intelligence</t>
        </is>
      </c>
      <c r="I21" s="3" t="inlineStr">
        <is>
          <t>A clear, no-hype briefing on AI in Construction for developers, site managers, architects, and readers tracking the built environment.</t>
        </is>
      </c>
      <c r="J21" s="3" t="inlineStr">
        <is>
          <t>Written for developers, site managers, architects, and readers tracking the built environment who need a clearer read on what AI can and cannot do in Construction, without wading through technical theatre.</t>
        </is>
      </c>
      <c r="K21" s="3" t="inlineStr">
        <is>
          <t>It maps the practical applications, the operational pinch points, the decision workflows, and the reliability questions that appear when AI moves from demo to deployment in Construction.</t>
        </is>
      </c>
      <c r="L21"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3" t="inlineStr">
        <is>
          <t>Construction is one of those areas where AI can help, but only if the claims survive contact with cost, safety, scheduling, and energy use. That is where this book keeps its attention.</t>
        </is>
      </c>
      <c r="N21" s="3" t="inlineStr">
        <is>
          <t>Plain-English, practical, sceptical, no-hype</t>
        </is>
      </c>
      <c r="O21" s="3" t="inlineStr">
        <is>
          <t>Jonathan Harris</t>
        </is>
      </c>
      <c r="P21" s="3" t="inlineStr">
        <is>
          <t>JH-AI-EBOOK-12</t>
        </is>
      </c>
      <c r="Q21" s="3" t="inlineStr">
        <is>
          <t>12. Artificial intelligence in Construction.pdf</t>
        </is>
      </c>
      <c r="R21" s="3" t="inlineStr">
        <is>
          <t>Artificial intelligence in Construction: Building a Sustainable Future</t>
        </is>
      </c>
      <c r="S21" s="3" t="inlineStr">
        <is>
          <t>Minor punctuation/casing drift; workbook retained as canonical</t>
        </is>
      </c>
      <c r="T21" s="3" t="inlineStr">
        <is>
          <t>B0DMQMGLP4</t>
        </is>
      </c>
      <c r="U21" s="3" t="n">
        <v>319</v>
      </c>
      <c r="V21" s="36" t="n">
        <v>45607</v>
      </c>
      <c r="W21" s="3" t="inlineStr">
        <is>
          <t>https://jonathan-harris.online/ebooks/artificial-intelligence-in-construction-building-a-sustainable-future/</t>
        </is>
      </c>
      <c r="X21" s="3" t="inlineStr">
        <is>
          <t>https://jonathan-harris.online/ebooks/artificial-intelligence-in-construction-building-a-sustainable-future/buy-now</t>
        </is>
      </c>
      <c r="Y21" s="3" t="inlineStr">
        <is>
          <t>https://mybook.to/v98RD</t>
        </is>
      </c>
      <c r="Z21" s="3" t="inlineStr">
        <is>
          <t>https://images.jonathan-harris.online/artificial-intelligence-construction-building-webp</t>
        </is>
      </c>
      <c r="AA21" s="3" t="inlineStr">
        <is>
          <t>https://jonathan-harris.online/book/artificial-intelligence-in-construction-building-a-sustainable-future/buy-now</t>
        </is>
      </c>
    </row>
    <row r="22" ht="42" customHeight="1" s="37">
      <c r="A22" s="3" t="inlineStr">
        <is>
          <t>the-artificial-intelligence-job-shift-navigating-the-future-of-work</t>
        </is>
      </c>
      <c r="B22" s="3" t="inlineStr">
        <is>
          <t>The Artificial Intelligence Job Shift: Navigating the Future of Work</t>
        </is>
      </c>
      <c r="C22" s="3" t="inlineStr">
        <is>
          <t>A no-hype introduction to AI in the future of work, built around real applications, limits, and better judgement.</t>
        </is>
      </c>
      <c r="D22" s="3" t="inlineStr">
        <is>
          <t>Explores AI's impact on employment, offering strategies to navigate job automation, reskilling, and emerging career opportunities.</t>
        </is>
      </c>
      <c r="E22" s="3"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3" t="inlineStr">
        <is>
          <t>Future of Work</t>
        </is>
      </c>
      <c r="G22" s="3" t="inlineStr">
        <is>
          <t>Future of Work | Artificial Intelligence | AI Trends</t>
        </is>
      </c>
      <c r="H22" s="3" t="inlineStr">
        <is>
          <t>Future of Work | The Artificial Intelligence Job Shift: Navigating the Future of Work | AI Trends | Artificial Intelligence</t>
        </is>
      </c>
      <c r="I22" s="3" t="inlineStr">
        <is>
          <t>A practical overview of AI in the future of work for managers, workers, founders, and readers tracking labour-market change.</t>
        </is>
      </c>
      <c r="J22" s="3" t="inlineStr">
        <is>
          <t>Suits readers who want to understand how AI changes the future of work in practice, especially managers, workers, founders, and readers tracking labour-market change looking for grounded examples and fewer slogans.</t>
        </is>
      </c>
      <c r="K22" s="3" t="inlineStr">
        <is>
          <t>It shows where AI fits inside the future of work, what has to change underneath for it to work, where the risks hide, and which outcomes are realistic rather than merely well-marketed.</t>
        </is>
      </c>
      <c r="L22" s="3"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3" t="inlineStr">
        <is>
          <t>AI is not arriving in the future of work as a parlour trick. It changes how organisations handle jobs, skills, bargaining power, and organisational design, so the boring details matter more than the slogans.</t>
        </is>
      </c>
      <c r="N22" s="3" t="inlineStr">
        <is>
          <t>Plain-English, practical, sceptical, no-hype</t>
        </is>
      </c>
      <c r="O22" s="3" t="inlineStr">
        <is>
          <t>Jonathan Harris</t>
        </is>
      </c>
      <c r="P22" s="3" t="inlineStr">
        <is>
          <t>JH-AI-EBOOK-31</t>
        </is>
      </c>
      <c r="Q22" s="3" t="inlineStr">
        <is>
          <t>24. The Artificial Intelligence Job Shift.pdf</t>
        </is>
      </c>
      <c r="R22" s="3" t="inlineStr">
        <is>
          <t>The Artificial Intelligence Job Shift: Navigating the Future of Work</t>
        </is>
      </c>
      <c r="S22" s="3" t="inlineStr">
        <is>
          <t>Aligned</t>
        </is>
      </c>
      <c r="T22" s="3" t="inlineStr">
        <is>
          <t>B0DMQHQTQH</t>
        </is>
      </c>
      <c r="U22" s="3" t="n">
        <v>315</v>
      </c>
      <c r="V22" s="36" t="n">
        <v>45607</v>
      </c>
      <c r="W22" s="3" t="inlineStr">
        <is>
          <t>https://jonathan-harris.online/ebooks/the-artificial-intelligence-job-shift-navigating-the-future-of-work/</t>
        </is>
      </c>
      <c r="X22" s="3" t="inlineStr">
        <is>
          <t>https://jonathan-harris.online/ebooks/the-artificial-intelligence-job-shift-navigating-the-future-of-work/buy-now</t>
        </is>
      </c>
      <c r="Y22" s="3" t="inlineStr">
        <is>
          <t>https://mybook.to/aijobshift</t>
        </is>
      </c>
      <c r="Z22" s="3" t="inlineStr">
        <is>
          <t>https://images.jonathan-harris.online/artificial-intelligence-job-shift-webp</t>
        </is>
      </c>
      <c r="AA22" s="3" t="inlineStr">
        <is>
          <t>https://jonathan-harris.online/book/the-artificial-intelligence-job-shift-navigating-the-future-of-work/buy-now</t>
        </is>
      </c>
    </row>
    <row r="23" ht="42" customHeight="1" s="37">
      <c r="A23" s="3" t="inlineStr">
        <is>
          <t>the-future-of-government-leveraging-ai-to-enhance-services-and-safeguard-information</t>
        </is>
      </c>
      <c r="B23" s="3" t="inlineStr">
        <is>
          <t>The Future of Government: Leveraging AI to Enhance Services and Safeguard Information</t>
        </is>
      </c>
      <c r="C23" s="3" t="inlineStr">
        <is>
          <t>A plain-English guide to AI in government, focused on practical use, trade-offs, and sharper questions.</t>
        </is>
      </c>
      <c r="D23" s="3" t="inlineStr">
        <is>
          <t>Artificial intelligence enhances government services with efficient administration, predictive analytics, and robust cybersecurity.</t>
        </is>
      </c>
      <c r="E23" s="3"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3" t="inlineStr">
        <is>
          <t>Government</t>
        </is>
      </c>
      <c r="G23" s="3" t="inlineStr">
        <is>
          <t>Government | Artificial Intelligence | AI Trends</t>
        </is>
      </c>
      <c r="H23" s="3" t="inlineStr">
        <is>
          <t>Government | The Future of Government: Leveraging AI to Enhance Services and Safeguard Information | AI Trends | Artificial Intelligence</t>
        </is>
      </c>
      <c r="I23" s="3" t="inlineStr">
        <is>
          <t>Readers who want a grounded, non-technical view of AI in government, including public-sector leaders, policy teams, civic-tech readers, and anyone tracking state capacity.</t>
        </is>
      </c>
      <c r="J23" s="3" t="inlineStr">
        <is>
          <t>Best for people weighing real adoption choices in government. It is written for public-sector leaders, policy teams, civic-tech readers, and anyone tracking state capacity who want practical context rather than brochure copy.</t>
        </is>
      </c>
      <c r="K23" s="3" t="inlineStr">
        <is>
          <t>It covers the main use cases, the workflow and data changes behind them, the claims worth taking seriously, and the governance questions that show up once AI starts steering decisions in government.</t>
        </is>
      </c>
      <c r="L23" s="3"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3" t="inlineStr">
        <is>
          <t>Because decisions in government affect service quality, accountability, privacy, and public trust. Once AI enters the loop, sloppy assumptions get expensive very quickly.</t>
        </is>
      </c>
      <c r="N23" s="3" t="inlineStr">
        <is>
          <t>Plain-English, practical, sceptical, no-hype</t>
        </is>
      </c>
      <c r="O23" s="3" t="inlineStr">
        <is>
          <t>Jonathan Harris</t>
        </is>
      </c>
      <c r="P23" s="3" t="inlineStr">
        <is>
          <t>JH-AI-EBOOK-35</t>
        </is>
      </c>
      <c r="Q23" s="3" t="inlineStr">
        <is>
          <t>28. The Future of Government.pdf</t>
        </is>
      </c>
      <c r="R23" s="3" t="inlineStr">
        <is>
          <t>The Future of Government: Leveraging AI to Enhance Services and Safeguard Information</t>
        </is>
      </c>
      <c r="S23" s="3" t="inlineStr">
        <is>
          <t>Aligned</t>
        </is>
      </c>
      <c r="T23" s="3" t="inlineStr">
        <is>
          <t>B0DM74CRSD</t>
        </is>
      </c>
      <c r="U23" s="3" t="n">
        <v>328</v>
      </c>
      <c r="V23" s="36" t="n">
        <v>45601</v>
      </c>
      <c r="W23" s="3" t="inlineStr">
        <is>
          <t>https://jonathan-harris.online/ebooks/the-future-of-government-leveraging-ai-to-enhance-services-and-safeguard-information/</t>
        </is>
      </c>
      <c r="X23" s="3" t="inlineStr">
        <is>
          <t>https://jonathan-harris.online/ebooks/the-future-of-government-leveraging-ai-to-enhance-services-and-safeguard-information/buy-now</t>
        </is>
      </c>
      <c r="Y23" s="3" t="inlineStr">
        <is>
          <t>https://mybook.to/3TwcUA</t>
        </is>
      </c>
      <c r="Z23" s="3" t="inlineStr">
        <is>
          <t>https://images.jonathan-harris.online/ai-government-enhance-services-webp</t>
        </is>
      </c>
      <c r="AA23" s="3" t="inlineStr">
        <is>
          <t>https://jonathan-harris.online/book/the-future-of-government-leveraging-ai-to-enhance-services-and-safeguard-information/buy-now</t>
        </is>
      </c>
    </row>
    <row r="24" ht="42" customHeight="1" s="37">
      <c r="A24" s="3" t="inlineStr">
        <is>
          <t>smart-buildings-ai-powered-efficiency-and-sustainability</t>
        </is>
      </c>
      <c r="B24" s="3" t="inlineStr">
        <is>
          <t>Smart Buildings: AI-Powered Efficiency and Sustainability</t>
        </is>
      </c>
      <c r="C24" s="3" t="inlineStr">
        <is>
          <t>A grounded look at AI in smart buildings, covering what works, what wobbles, and what matters in practice.</t>
        </is>
      </c>
      <c r="D24" s="3" t="inlineStr">
        <is>
          <t>A guide to AI in smart buildings — automated energy management, predictive maintenance, occupant comfort systems, and how intelligent infrastructure reduces costs and carbon.</t>
        </is>
      </c>
      <c r="E24" s="3"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3" t="inlineStr">
        <is>
          <t>Construction</t>
        </is>
      </c>
      <c r="G24" s="3" t="inlineStr">
        <is>
          <t>Construction | Artificial Intelligence | AI Trends</t>
        </is>
      </c>
      <c r="H24" s="3" t="inlineStr">
        <is>
          <t>Construction | Smart Buildings: AI-Powered Efficiency and Sustainability | AI Trends | Artificial Intelligence</t>
        </is>
      </c>
      <c r="I24" s="3" t="inlineStr">
        <is>
          <t>A clear, no-hype briefing on AI in smart buildings for developers, site managers, architects, and readers tracking the built environment.</t>
        </is>
      </c>
      <c r="J24" s="3" t="inlineStr">
        <is>
          <t>Written for developers, site managers, architects, and readers tracking the built environment who need a clearer read on what AI can and cannot do in smart buildings, without wading through technical theatre.</t>
        </is>
      </c>
      <c r="K24" s="3" t="inlineStr">
        <is>
          <t>It maps the practical applications, the operational pinch points, the decision workflows, and the reliability questions that appear when AI moves from demo to deployment in smart buildings.</t>
        </is>
      </c>
      <c r="L24"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3" t="inlineStr">
        <is>
          <t>Smart buildings is one of those areas where AI can help, but only if the claims survive contact with cost, safety, scheduling, and energy use. That is where this book keeps its attention.</t>
        </is>
      </c>
      <c r="N24" s="3" t="inlineStr">
        <is>
          <t>Plain-English, practical, sceptical, no-hype</t>
        </is>
      </c>
      <c r="O24" s="3" t="inlineStr">
        <is>
          <t>Jonathan Harris</t>
        </is>
      </c>
      <c r="P24" s="3" t="inlineStr">
        <is>
          <t>JH-AI-EBOOK-27</t>
        </is>
      </c>
      <c r="Q24" s="3" t="inlineStr">
        <is>
          <t>23. Smart Buildings.pdf</t>
        </is>
      </c>
      <c r="R24" s="3" t="inlineStr">
        <is>
          <t>Smart Buildings: AI-Powered Efficiency and Sustainability</t>
        </is>
      </c>
      <c r="S24" s="3" t="inlineStr">
        <is>
          <t>Aligned</t>
        </is>
      </c>
      <c r="T24" s="3" t="inlineStr">
        <is>
          <t>B0DMHBQVCR</t>
        </is>
      </c>
      <c r="U24" s="3" t="n">
        <v>345</v>
      </c>
      <c r="V24" s="36" t="n">
        <v>45604</v>
      </c>
      <c r="W24" s="3" t="inlineStr">
        <is>
          <t>https://jonathan-harris.online/ebooks/smart-buildings-ai-powered-efficiency-and-sustainability/</t>
        </is>
      </c>
      <c r="X24" s="3" t="inlineStr">
        <is>
          <t>https://jonathan-harris.online/ebooks/smart-buildings-ai-powered-efficiency-and-sustainability/buy-now</t>
        </is>
      </c>
      <c r="Y24" s="3" t="inlineStr">
        <is>
          <t>https://mybook.to/QEcdy</t>
        </is>
      </c>
      <c r="Z24" s="3" t="inlineStr">
        <is>
          <t>https://images.jonathan-harris.online/ai-smart-buildings-webp</t>
        </is>
      </c>
      <c r="AA24" s="3" t="inlineStr">
        <is>
          <t>https://jonathan-harris.online/book/smart-buildings-ai-powered-efficiency-and-sustainability/buy-now</t>
        </is>
      </c>
    </row>
    <row r="25" ht="42" customHeight="1" s="37">
      <c r="A25" s="3" t="inlineStr">
        <is>
          <t>digital-defense-the-role-of-ai-in-modern-warfare</t>
        </is>
      </c>
      <c r="B25" s="3" t="inlineStr">
        <is>
          <t>Digital Defense: The Role of AI in Modern Warfare</t>
        </is>
      </c>
      <c r="C25" s="3" t="inlineStr">
        <is>
          <t>A no-hype introduction to AI in modern warfare, built around real applications, limits, and better judgement.</t>
        </is>
      </c>
      <c r="D25" s="3" t="inlineStr">
        <is>
          <t>Artificial intelligence transforms warfare with autonomous drones, predictive intelligence, and cybersecurity, reshaping military strategy.</t>
        </is>
      </c>
      <c r="E25" s="3"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3" t="inlineStr">
        <is>
          <t>Defence</t>
        </is>
      </c>
      <c r="G25" s="3" t="inlineStr">
        <is>
          <t>Defence | Artificial Intelligence | AI Trends</t>
        </is>
      </c>
      <c r="H25" s="3" t="inlineStr">
        <is>
          <t>Defence | Digital Defense: The Role of AI in Modern Warfare | AI Trends | Artificial Intelligence</t>
        </is>
      </c>
      <c r="I25" s="3" t="inlineStr">
        <is>
          <t>A practical overview of AI in modern warfare for defence analysts, procurement teams, policy readers, and anyone tracking military technology.</t>
        </is>
      </c>
      <c r="J25" s="3" t="inlineStr">
        <is>
          <t>Suits readers who want to understand how AI changes modern warfare in practice, especially defence analysts, procurement teams, policy readers, and anyone tracking military technology looking for grounded examples and fewer slogans.</t>
        </is>
      </c>
      <c r="K25" s="3" t="inlineStr">
        <is>
          <t>It shows where AI fits inside modern warfare, what has to change underneath for it to work, where the risks hide, and which outcomes are realistic rather than merely well-marketed.</t>
        </is>
      </c>
      <c r="L25" s="3"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3" t="inlineStr">
        <is>
          <t>AI is not arriving in modern warfare as a parlour trick. It changes how organisations handle escalation risk, targeting, accountability, and resilience, so the boring details matter more than the slogans.</t>
        </is>
      </c>
      <c r="N25" s="3" t="inlineStr">
        <is>
          <t>Plain-English, practical, sceptical, no-hype</t>
        </is>
      </c>
      <c r="O25" s="3" t="inlineStr">
        <is>
          <t>Jonathan Harris</t>
        </is>
      </c>
      <c r="P25" s="3" t="inlineStr">
        <is>
          <t>JH-AI-EBOOK-22</t>
        </is>
      </c>
      <c r="Q25" s="3" t="inlineStr">
        <is>
          <t>21. Digital Defense.pdf</t>
        </is>
      </c>
      <c r="R25" s="3" t="inlineStr">
        <is>
          <t>Digital Defense: The Role of AI in Modern Warfare</t>
        </is>
      </c>
      <c r="S25" s="3" t="inlineStr">
        <is>
          <t>Aligned</t>
        </is>
      </c>
      <c r="T25" s="3" t="inlineStr">
        <is>
          <t>B0DM8256SL</t>
        </is>
      </c>
      <c r="U25" s="3" t="n">
        <v>296</v>
      </c>
      <c r="V25" s="36" t="n">
        <v>45602</v>
      </c>
      <c r="W25" s="3" t="inlineStr">
        <is>
          <t>https://jonathan-harris.online/ebooks/digital-defense-the-role-of-ai-in-modern-warfare/</t>
        </is>
      </c>
      <c r="X25" s="3" t="inlineStr">
        <is>
          <t>https://jonathan-harris.online/ebooks/digital-defense-the-role-of-ai-in-modern-warfare/buy-now</t>
        </is>
      </c>
      <c r="Y25" s="3" t="inlineStr">
        <is>
          <t>https://mybook.to/digitaldefense</t>
        </is>
      </c>
      <c r="Z25" s="3" t="inlineStr">
        <is>
          <t>https://images.jonathan-harris.online/ai-digital-defense-modern-webp</t>
        </is>
      </c>
      <c r="AA25" s="3" t="inlineStr">
        <is>
          <t>https://jonathan-harris.online/book/digital-defense-the-role-of-ai-in-modern-warfare/buy-now</t>
        </is>
      </c>
    </row>
    <row r="26" ht="42" customHeight="1" s="37">
      <c r="A26" s="3" t="inlineStr">
        <is>
          <t>artificial-intelligence-for-wildlife-conservation-revolutionizing-biodiversity-protection-through-technology</t>
        </is>
      </c>
      <c r="B26" s="3" t="inlineStr">
        <is>
          <t>Artificial Intelligence for Wildlife Conservation: Revolutionizing Biodiversity Protection through Technology</t>
        </is>
      </c>
      <c r="C26" s="3" t="inlineStr">
        <is>
          <t>A plain-English guide to AI in Wildlife Conservation, focused on practical use, trade-offs, and sharper questions.</t>
        </is>
      </c>
      <c r="D26" s="3" t="inlineStr">
        <is>
          <t>A guide to AI in wildlife conservation — habitat monitoring, anti-poaching technology, species identification, and how data-driven tools are protecting biodiversity.</t>
        </is>
      </c>
      <c r="E26" s="3"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3" t="inlineStr">
        <is>
          <t>Environment</t>
        </is>
      </c>
      <c r="G26" s="3" t="inlineStr">
        <is>
          <t>Environment | Artificial Intelligence | AI Trends</t>
        </is>
      </c>
      <c r="H26" s="3" t="inlineStr">
        <is>
          <t>Environment | Artificial Intelligence for Wildlife Conservation: Revolutionizing Biodiversity Protection through Technology | AI Trends | Artificial Intelligence</t>
        </is>
      </c>
      <c r="I26" s="3" t="inlineStr">
        <is>
          <t>Readers who want a grounded, non-technical view of AI in Wildlife Conservation, including conservation teams, climate readers, policy staff, and sustainability-minded operators.</t>
        </is>
      </c>
      <c r="J26" s="3" t="inlineStr">
        <is>
          <t>Best for people weighing real adoption choices in Wildlife Conservation. It is written for conservation teams, climate readers, policy staff, and sustainability-minded operators who want practical context rather than brochure copy.</t>
        </is>
      </c>
      <c r="K26" s="3" t="inlineStr">
        <is>
          <t>It covers the main use cases, the workflow and data changes behind them, the claims worth taking seriously, and the governance questions that show up once AI starts steering decisions in Wildlife Conservation.</t>
        </is>
      </c>
      <c r="L26"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3" t="inlineStr">
        <is>
          <t>Because decisions in Wildlife Conservation affect biodiversity, emissions, climate resilience, and scarce resources. Once AI enters the loop, sloppy assumptions get expensive very quickly.</t>
        </is>
      </c>
      <c r="N26" s="3" t="inlineStr">
        <is>
          <t>Plain-English, practical, sceptical, no-hype</t>
        </is>
      </c>
      <c r="O26" s="3" t="inlineStr">
        <is>
          <t>Jonathan Harris</t>
        </is>
      </c>
      <c r="P26" s="3" t="inlineStr">
        <is>
          <t>JH-AI-EBOOK-10</t>
        </is>
      </c>
      <c r="Q26" s="3" t="inlineStr">
        <is>
          <t>10. Artificial Intelligence for Wildlife.pdf</t>
        </is>
      </c>
      <c r="R26" s="3" t="inlineStr">
        <is>
          <t>Artificial Intelligence for Wildlife Conservation: Revolutionizing Biodiversity Protection through Technology</t>
        </is>
      </c>
      <c r="S26" s="3" t="inlineStr">
        <is>
          <t>Aligned</t>
        </is>
      </c>
      <c r="T26" s="3" t="inlineStr">
        <is>
          <t>B0DQK6B53Z</t>
        </is>
      </c>
      <c r="U26" s="3" t="n">
        <v>221</v>
      </c>
      <c r="V26" s="36" t="n">
        <v>45641</v>
      </c>
      <c r="W26" s="3" t="inlineStr">
        <is>
          <t>https://jonathan-harris.online/ebooks/artificial-intelligence-for-wildlife-conservation-revolutionizing-biodiversity-protection-through-technology/</t>
        </is>
      </c>
      <c r="X26" s="3" t="inlineStr">
        <is>
          <t>https://jonathan-harris.online/ebooks/artificial-intelligence-for-wildlife-conservation-revolutionizing-biodiversity-protection-through-technology/buy-now</t>
        </is>
      </c>
      <c r="Y26" s="3" t="inlineStr">
        <is>
          <t>https://mybook.to/94Q3</t>
        </is>
      </c>
      <c r="Z26" s="3" t="inlineStr">
        <is>
          <t>https://images.jonathan-harris.online/artificial-intelligence-wildlife-conservation-webp</t>
        </is>
      </c>
      <c r="AA26" s="3" t="inlineStr">
        <is>
          <t>https://jonathan-harris.online/book/artificial-intelligence-for-wildlife-conservation-revolutionizing-biodiversity-protection-through-technology/buy-now</t>
        </is>
      </c>
    </row>
    <row r="27" ht="42" customHeight="1" s="37">
      <c r="A27" s="3" t="inlineStr">
        <is>
          <t>climate-intelligence-harnessing-ai-for-a-greener-future</t>
        </is>
      </c>
      <c r="B27" s="3" t="inlineStr">
        <is>
          <t>Climate Intelligence: Harnessing AI for a Greener Future</t>
        </is>
      </c>
      <c r="C27" s="3" t="inlineStr">
        <is>
          <t>A grounded look at AI in climate and environmental strategy, covering what works, what wobbles, and what matters in practice.</t>
        </is>
      </c>
      <c r="D27" s="3" t="inlineStr">
        <is>
          <t>Artificial intelligence combats climate change with emissions tracking, renewable energy optimization, and predictive environmental modelling.</t>
        </is>
      </c>
      <c r="E27" s="3"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3" t="inlineStr">
        <is>
          <t>Environment</t>
        </is>
      </c>
      <c r="G27" s="3" t="inlineStr">
        <is>
          <t>Environment | Artificial Intelligence | AI Trends</t>
        </is>
      </c>
      <c r="H27" s="3" t="inlineStr">
        <is>
          <t>Environment | Climate Intelligence: Harnessing AI for a Greener Future | AI Trends | Artificial Intelligence</t>
        </is>
      </c>
      <c r="I27" s="3" t="inlineStr">
        <is>
          <t>A clear, no-hype briefing on AI in climate and environmental strategy for conservation teams, climate readers, policy staff, and sustainability-minded operators.</t>
        </is>
      </c>
      <c r="J27" s="3" t="inlineStr">
        <is>
          <t>Written for conservation teams, climate readers, policy staff, and sustainability-minded operators who need a clearer read on what AI can and cannot do in climate and environmental strategy, without wading through technical theatre.</t>
        </is>
      </c>
      <c r="K27" s="3" t="inlineStr">
        <is>
          <t>It maps the practical applications, the operational pinch points, the decision workflows, and the reliability questions that appear when AI moves from demo to deployment in climate and environmental strategy.</t>
        </is>
      </c>
      <c r="L27"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3" t="inlineStr">
        <is>
          <t>Climate and environmental strategy is one of those areas where AI can help, but only if the claims survive contact with biodiversity, emissions, climate resilience, and scarce resources. That is where this book keeps its attention.</t>
        </is>
      </c>
      <c r="N27" s="3" t="inlineStr">
        <is>
          <t>Plain-English, practical, sceptical, no-hype</t>
        </is>
      </c>
      <c r="O27" s="3" t="inlineStr">
        <is>
          <t>Jonathan Harris</t>
        </is>
      </c>
      <c r="P27" s="3" t="inlineStr">
        <is>
          <t>JH-AI-EBOOK-21</t>
        </is>
      </c>
      <c r="Q27" s="3" t="inlineStr">
        <is>
          <t>20. Climate Intelligence Harnessing AI for a Greener Future.pdf</t>
        </is>
      </c>
      <c r="R27" s="3" t="inlineStr">
        <is>
          <t>Climate Intelligence: Harnessing AI for a Greener Future</t>
        </is>
      </c>
      <c r="S27" s="3" t="inlineStr">
        <is>
          <t>Aligned</t>
        </is>
      </c>
      <c r="T27" s="3" t="inlineStr">
        <is>
          <t>B0DM72JZ44</t>
        </is>
      </c>
      <c r="U27" s="3" t="n">
        <v>338</v>
      </c>
      <c r="V27" s="36" t="n">
        <v>45602</v>
      </c>
      <c r="W27" s="3" t="inlineStr">
        <is>
          <t>https://jonathan-harris.online/ebooks/climate-intelligence-harnessing-ai-for-a-greener-future/</t>
        </is>
      </c>
      <c r="X27" s="3" t="inlineStr">
        <is>
          <t>https://jonathan-harris.online/ebooks/climate-intelligence-harnessing-ai-for-a-greener-future/buy-now</t>
        </is>
      </c>
      <c r="Y27" s="3" t="inlineStr">
        <is>
          <t>https://mybook.to/aKj8Fh</t>
        </is>
      </c>
      <c r="Z27" s="3" t="inlineStr">
        <is>
          <t>https://images.jonathan-harris.online/ai-climate-intelligence-greener-webp</t>
        </is>
      </c>
      <c r="AA27" s="3" t="inlineStr">
        <is>
          <t>https://jonathan-harris.online/book/climate-intelligence-harnessing-ai-for-a-greener-future/buy-now</t>
        </is>
      </c>
    </row>
    <row r="28" ht="42" customHeight="1" s="37">
      <c r="A28" s="3" t="inlineStr">
        <is>
          <t>ai-revolution-in-railways-modernizing-travel-for-a-smarter-future</t>
        </is>
      </c>
      <c r="B28" s="3" t="inlineStr">
        <is>
          <t>AI Revolution in Railways: Modernizing Travel for a Smarter Future</t>
        </is>
      </c>
      <c r="C28" s="3" t="inlineStr">
        <is>
          <t>A no-hype introduction to AI in AI Revolution in Railways, built around real applications, limits, and better judgement.</t>
        </is>
      </c>
      <c r="D28" s="3" t="inlineStr">
        <is>
          <t>Artificial intelligence modernizes railways with predictive maintenance, autonomous trains, and optimized scheduling, enhancing safety.</t>
        </is>
      </c>
      <c r="E28" s="3"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3" t="inlineStr">
        <is>
          <t>Transportation</t>
        </is>
      </c>
      <c r="G28" s="3" t="inlineStr">
        <is>
          <t>Transportation | Artificial Intelligence | AI Trends</t>
        </is>
      </c>
      <c r="H28" s="3" t="inlineStr">
        <is>
          <t>Transportation | AI Revolution in Railways: Modernizing Travel for a Smarter Future | AI Trends | Artificial Intelligence</t>
        </is>
      </c>
      <c r="I28" s="3" t="inlineStr">
        <is>
          <t>A practical overview of AI in AI Revolution in Railways for operators, planners, analysts, product teams, and readers tracking mobility systems.</t>
        </is>
      </c>
      <c r="J28" s="3" t="inlineStr">
        <is>
          <t>Suits readers who want to understand how AI changes AI Revolution in Railways in practice, especially operators, planners, analysts, product teams, and readers tracking mobility systems looking for grounded examples and fewer slogans.</t>
        </is>
      </c>
      <c r="K28" s="3" t="inlineStr">
        <is>
          <t>It shows where AI fits inside AI Revolution in Railways, what has to change underneath for it to work, where the risks hide, and which outcomes are realistic rather than merely well-marketed.</t>
        </is>
      </c>
      <c r="L28"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3" t="inlineStr">
        <is>
          <t>AI is not arriving in AI Revolution in Railways as a parlour trick. It changes how organisations handle safety, throughput, reliability, and emissions, so the boring details matter more than the slogans.</t>
        </is>
      </c>
      <c r="N28" s="3" t="inlineStr">
        <is>
          <t>Plain-English, practical, sceptical, no-hype</t>
        </is>
      </c>
      <c r="O28" s="3" t="inlineStr">
        <is>
          <t>Jonathan Harris</t>
        </is>
      </c>
      <c r="P28" s="3" t="inlineStr">
        <is>
          <t>JH-AI-EBOOK-07</t>
        </is>
      </c>
      <c r="Q28" s="3" t="inlineStr">
        <is>
          <t>06.AI Revolution in Railways.pdf</t>
        </is>
      </c>
      <c r="R28" s="3" t="inlineStr">
        <is>
          <t>AI Revolution in Railways: Modernizing Travel for a Smarter Future</t>
        </is>
      </c>
      <c r="S28" s="3" t="inlineStr">
        <is>
          <t>Aligned</t>
        </is>
      </c>
      <c r="T28" s="3" t="inlineStr">
        <is>
          <t>B0DWM19MZH</t>
        </is>
      </c>
      <c r="U28" s="3" t="n">
        <v>254</v>
      </c>
      <c r="V28" s="36" t="n">
        <v>45696</v>
      </c>
      <c r="W28" s="3" t="inlineStr">
        <is>
          <t>https://jonathan-harris.online/ebooks/ai-revolution-in-railways-modernizing-travel-for-a-smarter-future/</t>
        </is>
      </c>
      <c r="X28" s="3" t="inlineStr">
        <is>
          <t>https://jonathan-harris.online/ebooks/ai-revolution-in-railways-modernizing-travel-for-a-smarter-future/buy-now</t>
        </is>
      </c>
      <c r="Y28" s="3" t="inlineStr">
        <is>
          <t>https://mybook.to/JkJfDp</t>
        </is>
      </c>
      <c r="Z28" s="3" t="inlineStr">
        <is>
          <t>https://images.jonathan-harris.online/ai-revolution-railways-modernizing-webp</t>
        </is>
      </c>
      <c r="AA28" s="3" t="inlineStr">
        <is>
          <t>https://jonathan-harris.online/book/ai-revolution-in-railways-modernizing-travel-for-a-smarter-future/buy-now</t>
        </is>
      </c>
    </row>
    <row r="29" ht="42" customHeight="1" s="37">
      <c r="A29" s="3" t="inlineStr">
        <is>
          <t>artificial-intelligence-in-sports-revolutionizing-performance-and-fan-engagement</t>
        </is>
      </c>
      <c r="B29" s="3" t="inlineStr">
        <is>
          <t>Artificial Intelligence in Sports: Revolutionizing Performance and Fan Engagement</t>
        </is>
      </c>
      <c r="C29" s="3" t="inlineStr">
        <is>
          <t>A plain-English guide to AI in Sports, focused on practical use, trade-offs, and sharper questions.</t>
        </is>
      </c>
      <c r="D29" s="3" t="inlineStr">
        <is>
          <t>Artificial intelligence enhances sports with performance analytics, injury prevention, and immersive fan experiences.</t>
        </is>
      </c>
      <c r="E29" s="3"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3" t="inlineStr">
        <is>
          <t>Sports</t>
        </is>
      </c>
      <c r="G29" s="3" t="inlineStr">
        <is>
          <t>Sports | Artificial Intelligence | AI Trends</t>
        </is>
      </c>
      <c r="H29" s="3" t="inlineStr">
        <is>
          <t>Sports | Artificial Intelligence in Sports: Revolutionizing Performance and Fan Engagement | AI Trends | Artificial Intelligence</t>
        </is>
      </c>
      <c r="I29" s="3" t="inlineStr">
        <is>
          <t>Readers who want a grounded, non-technical view of AI in Sports, including coaches, analysts, operators, and fans who want the practical view.</t>
        </is>
      </c>
      <c r="J29" s="3" t="inlineStr">
        <is>
          <t>Best for people weighing real adoption choices in Sports. It is written for coaches, analysts, operators, and fans who want the practical view who want practical context rather than brochure copy.</t>
        </is>
      </c>
      <c r="K29" s="3" t="inlineStr">
        <is>
          <t>It covers the main use cases, the workflow and data changes behind them, the claims worth taking seriously, and the governance questions that show up once AI starts steering decisions in Sports.</t>
        </is>
      </c>
      <c r="L29" s="3"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3" t="inlineStr">
        <is>
          <t>Because decisions in Sports affect performance, injury risk, fan experience, and competitive fairness. Once AI enters the loop, sloppy assumptions get expensive very quickly.</t>
        </is>
      </c>
      <c r="N29" s="3" t="inlineStr">
        <is>
          <t>Plain-English, practical, sceptical, no-hype</t>
        </is>
      </c>
      <c r="O29" s="3" t="inlineStr">
        <is>
          <t>Jonathan Harris</t>
        </is>
      </c>
      <c r="P29" s="3" t="inlineStr">
        <is>
          <t>JH-AI-EBOOK-16</t>
        </is>
      </c>
      <c r="Q29" s="3" t="inlineStr">
        <is>
          <t>16. Artificial Intelligence in Sports.pdf</t>
        </is>
      </c>
      <c r="R29" s="3" t="inlineStr">
        <is>
          <t>Artificial Intelligence in Sports: Revolutionizing Performance and Fan Engagement</t>
        </is>
      </c>
      <c r="S29" s="3" t="inlineStr">
        <is>
          <t>Aligned</t>
        </is>
      </c>
      <c r="T29" s="3" t="inlineStr">
        <is>
          <t>B0DQFJ6XP5</t>
        </is>
      </c>
      <c r="U29" s="3" t="n">
        <v>229</v>
      </c>
      <c r="V29" s="36" t="n">
        <v>45638</v>
      </c>
      <c r="W29" s="3" t="inlineStr">
        <is>
          <t>https://jonathan-harris.online/ebooks/artificial-intelligence-in-sports-revolutionizing-performance-and-fan-engagement/</t>
        </is>
      </c>
      <c r="X29" s="3" t="inlineStr">
        <is>
          <t>https://jonathan-harris.online/ebooks/artificial-intelligence-in-sports-revolutionizing-performance-and-fan-engagement/buy-now</t>
        </is>
      </c>
      <c r="Y29" s="3" t="inlineStr">
        <is>
          <t>https://mybook.to/73M1</t>
        </is>
      </c>
      <c r="Z29" s="3" t="inlineStr">
        <is>
          <t>https://images.jonathan-harris.online/artificial-intelligence-sports-performance-webp</t>
        </is>
      </c>
      <c r="AA29" s="3" t="inlineStr">
        <is>
          <t>https://jonathan-harris.online/book/artificial-intelligence-in-sports-revolutionizing-performance-and-fan-engagement/buy-now</t>
        </is>
      </c>
    </row>
    <row r="30" ht="42" customHeight="1" s="37">
      <c r="A30" s="3" t="inlineStr">
        <is>
          <t>lights-camera-algorithm-ai-s-role-in-modern-filmmaking</t>
        </is>
      </c>
      <c r="B30" s="3" t="inlineStr">
        <is>
          <t>Lights, Camera, Algorithm: AI’s Role in Modern Filmmaking</t>
        </is>
      </c>
      <c r="C30" s="3" t="inlineStr">
        <is>
          <t>A grounded look at AI in filmmaking, covering what works, what wobbles, and what matters in practice.</t>
        </is>
      </c>
      <c r="D30" s="3" t="inlineStr">
        <is>
          <t>Artificial intelligence revolutionizes filmmaking with script analysis, visual effects, and personalized content, streamlining production.</t>
        </is>
      </c>
      <c r="E30" s="3"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3" t="inlineStr">
        <is>
          <t>Creativity</t>
        </is>
      </c>
      <c r="G30" s="3" t="inlineStr">
        <is>
          <t>Creativity | Artificial Intelligence | AI Trends</t>
        </is>
      </c>
      <c r="H30" s="3" t="inlineStr">
        <is>
          <t>Creativity | Lights, Camera, Algorithm: AI’s Role in Modern Filmmaking | AI Trends | Artificial Intelligence</t>
        </is>
      </c>
      <c r="I30" s="3" t="inlineStr">
        <is>
          <t>A clear, no-hype briefing on AI in filmmaking for creators, producers, editors, and readers tracking how tools reshape creative work.</t>
        </is>
      </c>
      <c r="J30" s="3" t="inlineStr">
        <is>
          <t>Written for creators, producers, editors, and readers tracking how tools reshape creative work who need a clearer read on what AI can and cannot do in filmmaking, without wading through technical theatre.</t>
        </is>
      </c>
      <c r="K30" s="3" t="inlineStr">
        <is>
          <t>It maps the practical applications, the operational pinch points, the decision workflows, and the reliability questions that appear when AI moves from demo to deployment in filmmaking.</t>
        </is>
      </c>
      <c r="L30"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3" t="inlineStr">
        <is>
          <t>Filmmaking is one of those areas where AI can help, but only if the claims survive contact with authorship, livelihoods, rights, and creative control. That is where this book keeps its attention.</t>
        </is>
      </c>
      <c r="N30" s="3" t="inlineStr">
        <is>
          <t>Plain-English, practical, sceptical, no-hype</t>
        </is>
      </c>
      <c r="O30" s="3" t="inlineStr">
        <is>
          <t>Jonathan Harris</t>
        </is>
      </c>
      <c r="P30" s="3" t="inlineStr">
        <is>
          <t>JH-AI-EBOOK-26</t>
        </is>
      </c>
      <c r="Q30" s="3" t="inlineStr">
        <is>
          <t>36. Lights, Camera, Algorithm: AI's Role in Modern Filmmaking.pdf</t>
        </is>
      </c>
      <c r="R30" s="3" t="inlineStr">
        <is>
          <t>AI in Cinema: Content Creation &amp; Generation</t>
        </is>
      </c>
      <c r="S30" s="3" t="inlineStr">
        <is>
          <t>Workbook retained as canonical; align manuscript title page on next revision</t>
        </is>
      </c>
      <c r="T30" s="3" t="inlineStr">
        <is>
          <t>B0DY672VRB</t>
        </is>
      </c>
      <c r="U30" s="3" t="n">
        <v>336</v>
      </c>
      <c r="V30" s="36" t="n">
        <v>45710</v>
      </c>
      <c r="W30" s="3" t="inlineStr">
        <is>
          <t>https://jonathan-harris.online/ebooks/lights-camera-algorithm-ai-s-role-in-modern-filmmaking/</t>
        </is>
      </c>
      <c r="X30" s="3" t="inlineStr">
        <is>
          <t>https://jonathan-harris.online/ebooks/lights-camera-algorithm-ai-s-role-in-modern-filmmaking/buy-now</t>
        </is>
      </c>
      <c r="Y30" s="3" t="inlineStr">
        <is>
          <t>https://mybook.to/EcO2DI</t>
        </is>
      </c>
      <c r="Z30" s="3" t="inlineStr">
        <is>
          <t>https://images.jonathan-harris.online/lights-camera-algorithm-ais-webp</t>
        </is>
      </c>
      <c r="AA30" s="3" t="inlineStr">
        <is>
          <t>https://jonathan-harris.online/book/lights-camera-algorithm-ai-s-role-in-modern-filmmaking/buy-now</t>
        </is>
      </c>
    </row>
    <row r="31" ht="42" customHeight="1" s="37">
      <c r="A31" s="3" t="inlineStr">
        <is>
          <t>the-ai-music-revolution-creativity-controversy-and-collaboration</t>
        </is>
      </c>
      <c r="B31" s="3" t="inlineStr">
        <is>
          <t>The AI Music Revolution: Creativity, Controversy, and Collaboration</t>
        </is>
      </c>
      <c r="C31" s="3" t="inlineStr">
        <is>
          <t>A no-hype introduction to AI in music, built around real applications, limits, and better judgement.</t>
        </is>
      </c>
      <c r="D31" s="3" t="inlineStr">
        <is>
          <t>Explores AI's role in music creation, from composition to production, addressing creativity, ethics, and collaboration.</t>
        </is>
      </c>
      <c r="E31" s="3"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3" t="inlineStr">
        <is>
          <t>Creativity</t>
        </is>
      </c>
      <c r="G31" s="3" t="inlineStr">
        <is>
          <t>Creativity | Artificial Intelligence | AI Trends</t>
        </is>
      </c>
      <c r="H31" s="3" t="inlineStr">
        <is>
          <t>Creativity | The AI Music Revolution: Creativity, Controversy, and Collaboration | AI Trends | Artificial Intelligence</t>
        </is>
      </c>
      <c r="I31" s="3" t="inlineStr">
        <is>
          <t>A practical overview of AI in music for creators, producers, editors, and readers tracking how tools reshape creative work.</t>
        </is>
      </c>
      <c r="J31" s="3" t="inlineStr">
        <is>
          <t>Suits readers who want to understand how AI changes music in practice, especially creators, producers, editors, and readers tracking how tools reshape creative work looking for grounded examples and fewer slogans.</t>
        </is>
      </c>
      <c r="K31" s="3" t="inlineStr">
        <is>
          <t>It shows where AI fits inside music, what has to change underneath for it to work, where the risks hide, and which outcomes are realistic rather than merely well-marketed.</t>
        </is>
      </c>
      <c r="L31"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3" t="inlineStr">
        <is>
          <t>AI is not arriving in music as a parlour trick. It changes how organisations handle authorship, livelihoods, rights, and creative control, so the boring details matter more than the slogans.</t>
        </is>
      </c>
      <c r="N31" s="3" t="inlineStr">
        <is>
          <t>Plain-English, practical, sceptical, no-hype</t>
        </is>
      </c>
      <c r="O31" s="3" t="inlineStr">
        <is>
          <t>Jonathan Harris</t>
        </is>
      </c>
      <c r="P31" s="3" t="inlineStr">
        <is>
          <t>JH-AI-EBOOK-29</t>
        </is>
      </c>
      <c r="Q31" s="3" t="inlineStr">
        <is>
          <t>35. The AI Music Revolution Creativity_ Controversy_ and Collaboration.pdf</t>
        </is>
      </c>
      <c r="R31" s="3" t="inlineStr">
        <is>
          <t>The AI Music Revolution: Creativity, Controversy, and Collaboration</t>
        </is>
      </c>
      <c r="S31" s="3" t="inlineStr">
        <is>
          <t>Aligned</t>
        </is>
      </c>
      <c r="T31" s="3" t="inlineStr">
        <is>
          <t>B0DY666TZJ</t>
        </is>
      </c>
      <c r="U31" s="3" t="n">
        <v>295</v>
      </c>
      <c r="V31" s="36" t="n">
        <v>45710</v>
      </c>
      <c r="W31" s="3" t="inlineStr">
        <is>
          <t>https://jonathan-harris.online/ebooks/the-ai-music-revolution-creativity-controversy-and-collaboration/</t>
        </is>
      </c>
      <c r="X31" s="3" t="inlineStr">
        <is>
          <t>https://jonathan-harris.online/ebooks/the-ai-music-revolution-creativity-controversy-and-collaboration/buy-now</t>
        </is>
      </c>
      <c r="Y31" s="3" t="inlineStr">
        <is>
          <t>https://mybook.to/Io32sC3</t>
        </is>
      </c>
      <c r="Z31" s="3" t="inlineStr">
        <is>
          <t>https://images.jonathan-harris.online/ai-music-revolution-creativity-webp</t>
        </is>
      </c>
      <c r="AA31" s="3" t="inlineStr">
        <is>
          <t>https://jonathan-harris.online/book/the-ai-music-revolution-creativity-controversy-and-collaboration/buy-now</t>
        </is>
      </c>
    </row>
    <row r="32" ht="42" customHeight="1" s="37">
      <c r="A32" s="3" t="inlineStr">
        <is>
          <t>the-architects-of-ai-pioneers-breakthroughs-and-the-road-ahead</t>
        </is>
      </c>
      <c r="B32" s="3" t="inlineStr">
        <is>
          <t>The Architects of AI: Pioneers, Breakthroughs, and the Road Ahead</t>
        </is>
      </c>
      <c r="C32" s="3" t="inlineStr">
        <is>
          <t>A plain-English guide to AI in the history of artificial intelligence, focused on practical use, trade-offs, and sharper questions.</t>
        </is>
      </c>
      <c r="D32" s="3" t="inlineStr">
        <is>
          <t>Chronicles AI's pioneers and breakthroughs, exploring the technology's history and future potential in shaping society.</t>
        </is>
      </c>
      <c r="E32" s="3"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3" t="inlineStr">
        <is>
          <t>History</t>
        </is>
      </c>
      <c r="G32" s="3" t="inlineStr">
        <is>
          <t>History | Artificial Intelligence | AI Trends</t>
        </is>
      </c>
      <c r="H32" s="3" t="inlineStr">
        <is>
          <t>History | The Architects of AI: Pioneers, Breakthroughs, and the Road Ahead | AI Trends | Artificial Intelligence</t>
        </is>
      </c>
      <c r="I32" s="3" t="inlineStr">
        <is>
          <t>Readers who want a grounded, non-technical view of AI in the history of artificial intelligence, including readers who want the backstory, the milestones, and the people behind the field.</t>
        </is>
      </c>
      <c r="J32" s="3" t="inlineStr">
        <is>
          <t>Best for people weighing real adoption choices in the history of artificial intelligence. It is written for readers who want the backstory, the milestones, and the people behind the field who want practical context rather than brochure copy.</t>
        </is>
      </c>
      <c r="K32" s="3" t="inlineStr">
        <is>
          <t>It covers the main use cases, the workflow and data changes behind them, the claims worth taking seriously, and the governance questions that show up once AI starts steering decisions in the history of artificial intelligence.</t>
        </is>
      </c>
      <c r="L32" s="3"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3" t="inlineStr">
        <is>
          <t>Because decisions in the history of artificial intelligence affect how we explain the field, credit its builders, and judge its turning points. Once AI enters the loop, sloppy assumptions get expensive very quickly.</t>
        </is>
      </c>
      <c r="N32" s="3" t="inlineStr">
        <is>
          <t>Plain-English, practical, sceptical, no-hype</t>
        </is>
      </c>
      <c r="O32" s="3" t="inlineStr">
        <is>
          <t>Jonathan Harris</t>
        </is>
      </c>
      <c r="P32" s="3" t="inlineStr">
        <is>
          <t>JH-AI-EBOOK-30</t>
        </is>
      </c>
      <c r="Q32" s="3" t="inlineStr">
        <is>
          <t>34. The Architects of AI_ Pioneers_ Breakthroughs_ and the Road Ahead.pdf</t>
        </is>
      </c>
      <c r="R32" s="3" t="inlineStr">
        <is>
          <t>The Architects of AI: Pioneers, Breakthroughs, and the Road Ahead</t>
        </is>
      </c>
      <c r="S32" s="3" t="inlineStr">
        <is>
          <t>Aligned</t>
        </is>
      </c>
      <c r="T32" s="3" t="inlineStr">
        <is>
          <t>B0DY5MRT6K</t>
        </is>
      </c>
      <c r="U32" s="3" t="n">
        <v>302</v>
      </c>
      <c r="V32" s="36" t="n">
        <v>45710</v>
      </c>
      <c r="W32" s="3" t="inlineStr">
        <is>
          <t>https://jonathan-harris.online/ebooks/the-architects-of-ai-pioneers-breakthroughs-and-the-road-ahead/</t>
        </is>
      </c>
      <c r="X32" s="3" t="inlineStr">
        <is>
          <t>https://jonathan-harris.online/ebooks/the-architects-of-ai-pioneers-breakthroughs-and-the-road-ahead/buy-now</t>
        </is>
      </c>
      <c r="Y32" s="3" t="inlineStr">
        <is>
          <t>https://mybook.to/qFAI</t>
        </is>
      </c>
      <c r="Z32" s="3" t="inlineStr">
        <is>
          <t>https://images.jonathan-harris.online/architects-ai_-pioneers_-breakthroughs_-webp</t>
        </is>
      </c>
      <c r="AA32" s="3" t="inlineStr">
        <is>
          <t>https://jonathan-harris.online/book/the-architects-of-ai-pioneers-breakthroughs-and-the-road-ahead/buy-now</t>
        </is>
      </c>
    </row>
    <row r="33" ht="42" customHeight="1" s="37">
      <c r="A33" s="3" t="inlineStr">
        <is>
          <t>the-house-always-knows-ai-gambling-and-the-ethics-of-personalized-gaming</t>
        </is>
      </c>
      <c r="B33" s="3" t="inlineStr">
        <is>
          <t>The House Always Knows: AI, Gambling, and the Ethics of Personalized Gaming</t>
        </is>
      </c>
      <c r="C33" s="3" t="inlineStr">
        <is>
          <t>A grounded look at AI in ai in gambling, covering what works, what wobbles, and what matters in practice.</t>
        </is>
      </c>
      <c r="D33" s="3" t="inlineStr">
        <is>
          <t>Examines AI's role in gambling, from personalized gaming to addiction risks, addressing ethical concerns and regulation.</t>
        </is>
      </c>
      <c r="E33" s="3"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3" t="inlineStr">
        <is>
          <t>Ethics</t>
        </is>
      </c>
      <c r="G33" s="3" t="inlineStr">
        <is>
          <t>Ethics | Artificial Intelligence | AI Trends | Law</t>
        </is>
      </c>
      <c r="H33" s="3" t="inlineStr">
        <is>
          <t>Ethics | The House Always Knows: AI, Gambling, and the Ethics of Personalized Gaming | AI Trends | Artificial Intelligence | Law</t>
        </is>
      </c>
      <c r="I33" s="3" t="inlineStr">
        <is>
          <t>A clear, no-hype briefing on AI in ai in gambling for policy readers, educators, sceptics, and anyone thinking about AI's social consequences.</t>
        </is>
      </c>
      <c r="J33" s="3" t="inlineStr">
        <is>
          <t>Written for policy readers, educators, sceptics, and anyone thinking about AI's social consequences who need a clearer read on what AI can and cannot do in ai in gambling, without wading through technical theatre.</t>
        </is>
      </c>
      <c r="K33" s="3" t="inlineStr">
        <is>
          <t>It maps the practical applications, the operational pinch points, the decision workflows, and the reliability questions that appear when AI moves from demo to deployment in ai in gambling.</t>
        </is>
      </c>
      <c r="L33" s="3"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3" t="inlineStr">
        <is>
          <t>Ai in gambling is one of those areas where AI can help, but only if the claims survive contact with autonomy, fairness, consent, and social trust. That is where this book keeps its attention.</t>
        </is>
      </c>
      <c r="N33" s="3" t="inlineStr">
        <is>
          <t>Plain-English, practical, sceptical, no-hype</t>
        </is>
      </c>
      <c r="O33" s="3" t="inlineStr">
        <is>
          <t>Jonathan Harris</t>
        </is>
      </c>
      <c r="P33" s="3" t="inlineStr">
        <is>
          <t>JH-AI-EBOOK-36</t>
        </is>
      </c>
      <c r="Q33" s="3" t="inlineStr">
        <is>
          <t>33. The House Always Knows_ AI_ Gambling_ and the Ethics of Personalized Gaming.pdf</t>
        </is>
      </c>
      <c r="R33" s="3" t="inlineStr">
        <is>
          <t>The House Always Knows: AI, Gambling, and the Ethics of Personalized Gaming</t>
        </is>
      </c>
      <c r="S33" s="3" t="inlineStr">
        <is>
          <t>Aligned</t>
        </is>
      </c>
      <c r="T33" s="3" t="inlineStr">
        <is>
          <t>B0DY4PSD8Z</t>
        </is>
      </c>
      <c r="U33" s="3" t="n">
        <v>327</v>
      </c>
      <c r="V33" s="36" t="n">
        <v>45709</v>
      </c>
      <c r="W33" s="3" t="inlineStr">
        <is>
          <t>https://jonathan-harris.online/ebooks/the-house-always-knows-ai-gambling-and-the-ethics-of-personalized-gaming/</t>
        </is>
      </c>
      <c r="X33" s="3" t="inlineStr">
        <is>
          <t>https://jonathan-harris.online/ebooks/the-house-always-knows-ai-gambling-and-the-ethics-of-personalized-gaming/buy-now</t>
        </is>
      </c>
      <c r="Y33" s="3" t="inlineStr">
        <is>
          <t>https://mybook.to/K7nVJGv</t>
        </is>
      </c>
      <c r="Z33" s="3" t="inlineStr">
        <is>
          <t>https://images.jonathan-harris.online/ai-house-always-knows-webp</t>
        </is>
      </c>
      <c r="AA33" s="3" t="inlineStr">
        <is>
          <t>https://jonathan-harris.online/book/the-house-always-knows-ai-gambling-and-the-ethics-of-personalized-gaming/buy-now</t>
        </is>
      </c>
    </row>
    <row r="34" ht="42" customHeight="1" s="37">
      <c r="A34" s="3" t="inlineStr">
        <is>
          <t>beyond-earth-how-ai-is-transforming-space-exploration</t>
        </is>
      </c>
      <c r="B34" s="3" t="inlineStr">
        <is>
          <t>Beyond Earth: How AI is Transforming Space Exploration</t>
        </is>
      </c>
      <c r="C34" s="3" t="inlineStr">
        <is>
          <t>A no-hype introduction to AI in space exploration, built around real applications, limits, and better judgement.</t>
        </is>
      </c>
      <c r="D34" s="3" t="inlineStr">
        <is>
          <t>Artificial intelligence advances space exploration with autonomous rovers, data analysis, and mission planning.</t>
        </is>
      </c>
      <c r="E34" s="3"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3" t="inlineStr">
        <is>
          <t>Science</t>
        </is>
      </c>
      <c r="G34" s="3" t="inlineStr">
        <is>
          <t>Science | Artificial Intelligence | AI Trends</t>
        </is>
      </c>
      <c r="H34" s="3" t="inlineStr">
        <is>
          <t>Science | Beyond Earth: How AI is Transforming Space Exploration | AI Trends | Artificial Intelligence</t>
        </is>
      </c>
      <c r="I34" s="3" t="inlineStr">
        <is>
          <t>A practical overview of AI in space exploration for science readers, engineers, mission planners, and anyone tracking research-heavy systems.</t>
        </is>
      </c>
      <c r="J34" s="3" t="inlineStr">
        <is>
          <t>Suits readers who want to understand how AI changes space exploration in practice, especially science readers, engineers, mission planners, and anyone tracking research-heavy systems looking for grounded examples and fewer slogans.</t>
        </is>
      </c>
      <c r="K34" s="3" t="inlineStr">
        <is>
          <t>It shows where AI fits inside space exploration, what has to change underneath for it to work, where the risks hide, and which outcomes are realistic rather than merely well-marketed.</t>
        </is>
      </c>
      <c r="L34" s="3"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3" t="inlineStr">
        <is>
          <t>AI is not arriving in space exploration as a parlour trick. It changes how organisations handle mission risk, cost, discovery speed, and scientific return, so the boring details matter more than the slogans.</t>
        </is>
      </c>
      <c r="N34" s="3" t="inlineStr">
        <is>
          <t>Plain-English, practical, sceptical, no-hype</t>
        </is>
      </c>
      <c r="O34" s="3" t="inlineStr">
        <is>
          <t>Jonathan Harris</t>
        </is>
      </c>
      <c r="P34" s="3" t="inlineStr">
        <is>
          <t>JH-AI-EBOOK-20</t>
        </is>
      </c>
      <c r="Q34" s="3" t="inlineStr">
        <is>
          <t>32. Beyond Earth How AI is Transforming Space Exploration-1.pdf</t>
        </is>
      </c>
      <c r="R34" s="3" t="inlineStr">
        <is>
          <t>Beyond Earth: How AI is Transforming Space Exploration</t>
        </is>
      </c>
      <c r="S34" s="3" t="inlineStr">
        <is>
          <t>Aligned</t>
        </is>
      </c>
      <c r="T34" s="3" t="inlineStr">
        <is>
          <t>B0DY4Q2Q2D</t>
        </is>
      </c>
      <c r="U34" s="3" t="n">
        <v>350</v>
      </c>
      <c r="V34" s="36" t="n">
        <v>45709</v>
      </c>
      <c r="W34" s="3" t="inlineStr">
        <is>
          <t>https://jonathan-harris.online/ebooks/beyond-earth-how-ai-is-transforming-space-exploration/</t>
        </is>
      </c>
      <c r="X34" s="3" t="inlineStr">
        <is>
          <t>https://jonathan-harris.online/ebooks/beyond-earth-how-ai-is-transforming-space-exploration/buy-now</t>
        </is>
      </c>
      <c r="Y34" s="3" t="inlineStr">
        <is>
          <t>https://mybook.to/iY9m</t>
        </is>
      </c>
      <c r="Z34" s="3" t="inlineStr">
        <is>
          <t>https://images.jonathan-harris.online/ai-earth-space-exploration-webp</t>
        </is>
      </c>
      <c r="AA34" s="3" t="inlineStr">
        <is>
          <t>https://jonathan-harris.online/book/beyond-earth-how-ai-is-transforming-space-exploration/buy-now</t>
        </is>
      </c>
    </row>
    <row r="35" ht="42" customHeight="1" s="37">
      <c r="A35" s="3" t="inlineStr">
        <is>
          <t>from-reporters-to-robots-how-ai-is-reshaping-journalism</t>
        </is>
      </c>
      <c r="B35" s="3" t="inlineStr">
        <is>
          <t>From Reporters to Robots: How AI is Reshaping Journalism</t>
        </is>
      </c>
      <c r="C35" s="3" t="inlineStr">
        <is>
          <t>A plain-English guide to AI in journalism, focused on practical use, trade-offs, and sharper questions.</t>
        </is>
      </c>
      <c r="D35" s="3" t="inlineStr">
        <is>
          <t>Artificial intelligence transforms journalism with automated reporting, fact-checking, and personalized news, raising questions about bias and trust.</t>
        </is>
      </c>
      <c r="E35" s="3"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3" t="inlineStr">
        <is>
          <t>Media</t>
        </is>
      </c>
      <c r="G35" s="3" t="inlineStr">
        <is>
          <t>Media | Artificial Intelligence | AI Trends</t>
        </is>
      </c>
      <c r="H35" s="3" t="inlineStr">
        <is>
          <t>Media | From Reporters to Robots: How AI is Reshaping Journalism | AI Trends | Artificial Intelligence</t>
        </is>
      </c>
      <c r="I35" s="3" t="inlineStr">
        <is>
          <t>Readers who want a grounded, non-technical view of AI in journalism, including journalists, editors, platform teams, and readers tracking information systems.</t>
        </is>
      </c>
      <c r="J35" s="3" t="inlineStr">
        <is>
          <t>Best for people weighing real adoption choices in journalism. It is written for journalists, editors, platform teams, and readers tracking information systems who want practical context rather than brochure copy.</t>
        </is>
      </c>
      <c r="K35" s="3" t="inlineStr">
        <is>
          <t>It covers the main use cases, the workflow and data changes behind them, the claims worth taking seriously, and the governance questions that show up once AI starts steering decisions in journalism.</t>
        </is>
      </c>
      <c r="L35"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3" t="inlineStr">
        <is>
          <t>Because decisions in journalism affect information quality, moderation, incentives, and public trust. Once AI enters the loop, sloppy assumptions get expensive very quickly.</t>
        </is>
      </c>
      <c r="N35" s="3" t="inlineStr">
        <is>
          <t>Plain-English, practical, sceptical, no-hype</t>
        </is>
      </c>
      <c r="O35" s="3" t="inlineStr">
        <is>
          <t>Jonathan Harris</t>
        </is>
      </c>
      <c r="P35" s="3" t="inlineStr">
        <is>
          <t>JH-AI-EBOOK-24</t>
        </is>
      </c>
      <c r="Q35" s="3" t="inlineStr">
        <is>
          <t>31. From Reporters to Robots How AI is Reshaping Journalism.pdf</t>
        </is>
      </c>
      <c r="R35" s="3" t="inlineStr">
        <is>
          <t>From Reporters to Robots: How AI is Reshaping Journalism</t>
        </is>
      </c>
      <c r="S35" s="3" t="inlineStr">
        <is>
          <t>Aligned</t>
        </is>
      </c>
      <c r="T35" s="3" t="inlineStr">
        <is>
          <t>B0DY4NP1WF</t>
        </is>
      </c>
      <c r="U35" s="3" t="n">
        <v>334</v>
      </c>
      <c r="V35" s="36" t="n">
        <v>45709</v>
      </c>
      <c r="W35" s="3" t="inlineStr">
        <is>
          <t>https://jonathan-harris.online/ebooks/from-reporters-to-robots-how-ai-is-reshaping-journalism/</t>
        </is>
      </c>
      <c r="X35" s="3" t="inlineStr">
        <is>
          <t>https://jonathan-harris.online/ebooks/from-reporters-to-robots-how-ai-is-reshaping-journalism/buy-now</t>
        </is>
      </c>
      <c r="Y35" s="3" t="inlineStr">
        <is>
          <t>https://mybook.to/DWfAK</t>
        </is>
      </c>
      <c r="Z35" s="3" t="inlineStr">
        <is>
          <t>https://images.jonathan-harris.online/ai-reporters-robots-reshaping-webp</t>
        </is>
      </c>
      <c r="AA35" s="3" t="inlineStr">
        <is>
          <t>https://jonathan-harris.online/book/from-reporters-to-robots-how-ai-is-reshaping-journalism/buy-now</t>
        </is>
      </c>
    </row>
    <row r="36" ht="42" customHeight="1" s="37">
      <c r="A36" s="3" t="inlineStr">
        <is>
          <t>the-ai-behind-your-feed-personalization-moderation-and-the-future-of-social-media</t>
        </is>
      </c>
      <c r="B36" s="3" t="inlineStr">
        <is>
          <t>The AI Behind Your Feed: Personalization, Moderation, and the Future of Social Media</t>
        </is>
      </c>
      <c r="C36" s="3" t="inlineStr">
        <is>
          <t>A grounded look at AI in social media, covering what works, what wobbles, and what matters in practice.</t>
        </is>
      </c>
      <c r="D36" s="3" t="inlineStr">
        <is>
          <t>Explores AI's role in social media, from content personalization to moderation, and its impact on user experience and privacy.</t>
        </is>
      </c>
      <c r="E36" s="3"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3" t="inlineStr">
        <is>
          <t>Media</t>
        </is>
      </c>
      <c r="G36" s="3" t="inlineStr">
        <is>
          <t>Media | Artificial Intelligence | AI Trends</t>
        </is>
      </c>
      <c r="H36" s="3" t="inlineStr">
        <is>
          <t>Media | The AI Behind Your Feed: Personalization, Moderation, and the Future of Social Media | AI Trends | Artificial Intelligence</t>
        </is>
      </c>
      <c r="I36" s="3" t="inlineStr">
        <is>
          <t>A clear, no-hype briefing on AI in social media for journalists, editors, platform teams, and readers tracking information systems.</t>
        </is>
      </c>
      <c r="J36" s="3" t="inlineStr">
        <is>
          <t>Written for journalists, editors, platform teams, and readers tracking information systems who need a clearer read on what AI can and cannot do in social media, without wading through technical theatre.</t>
        </is>
      </c>
      <c r="K36" s="3" t="inlineStr">
        <is>
          <t>It maps the practical applications, the operational pinch points, the decision workflows, and the reliability questions that appear when AI moves from demo to deployment in social media.</t>
        </is>
      </c>
      <c r="L36"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3" t="inlineStr">
        <is>
          <t>Social media is one of those areas where AI can help, but only if the claims survive contact with information quality, moderation, incentives, and public trust. That is where this book keeps its attention.</t>
        </is>
      </c>
      <c r="N36" s="3" t="inlineStr">
        <is>
          <t>Plain-English, practical, sceptical, no-hype</t>
        </is>
      </c>
      <c r="O36" s="3" t="inlineStr">
        <is>
          <t>Jonathan Harris</t>
        </is>
      </c>
      <c r="P36" s="3" t="inlineStr">
        <is>
          <t>JH-AI-EBOOK-28</t>
        </is>
      </c>
      <c r="Q36" s="3" t="inlineStr">
        <is>
          <t>30. The AI Behind Your Feed Personalization_ Moderation_ and the Future of Social Media.pdf</t>
        </is>
      </c>
      <c r="R36" s="3" t="inlineStr">
        <is>
          <t>The AI Behind Your Feed: Personalization, Moderation, and the Future of Social Media</t>
        </is>
      </c>
      <c r="S36" s="3" t="inlineStr">
        <is>
          <t>Aligned</t>
        </is>
      </c>
      <c r="T36" s="3" t="inlineStr">
        <is>
          <t>B0DY12Z1SP</t>
        </is>
      </c>
      <c r="U36" s="3" t="n">
        <v>334</v>
      </c>
      <c r="V36" s="36" t="n">
        <v>45708</v>
      </c>
      <c r="W36" s="3" t="inlineStr">
        <is>
          <t>https://jonathan-harris.online/ebooks/the-ai-behind-your-feed-personalization-moderation-and-the-future-of-social-media/</t>
        </is>
      </c>
      <c r="X36" s="3" t="inlineStr">
        <is>
          <t>https://jonathan-harris.online/ebooks/the-ai-behind-your-feed-personalization-moderation-and-the-future-of-social-media/buy-now</t>
        </is>
      </c>
      <c r="Y36" s="3" t="inlineStr">
        <is>
          <t>https://mybook.to/rNRr</t>
        </is>
      </c>
      <c r="Z36" s="3" t="inlineStr">
        <is>
          <t>https://images.jonathan-harris.online/ai-behind-your-feed-webp</t>
        </is>
      </c>
      <c r="AA36" s="3" t="inlineStr">
        <is>
          <t>https://jonathan-harris.online/book/the-ai-behind-your-feed-personalization-moderation-and-the-future-of-social-media/buy-now</t>
        </is>
      </c>
    </row>
    <row r="37" ht="42" customHeight="1" s="37">
      <c r="A37" s="3" t="inlineStr">
        <is>
          <t>game-ai-unleashed-from-finite-state-machines-to-machine-learning</t>
        </is>
      </c>
      <c r="B37" s="3" t="inlineStr">
        <is>
          <t>Game AI Unleashed: From Finite State Machines to Machine Learning</t>
        </is>
      </c>
      <c r="C37" s="3" t="inlineStr">
        <is>
          <t>A no-hype introduction to AI in game development, built around real applications, limits, and better judgement.</t>
        </is>
      </c>
      <c r="D37" s="3" t="inlineStr">
        <is>
          <t>Chronicles AI's evolution in gaming, from simple state machines to advanced machine learning, enhancing gameplay and immersion.</t>
        </is>
      </c>
      <c r="E37" s="3"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3" t="inlineStr">
        <is>
          <t>Gaming</t>
        </is>
      </c>
      <c r="G37" s="3" t="inlineStr">
        <is>
          <t>Gaming | Artificial Intelligence | AI Trends</t>
        </is>
      </c>
      <c r="H37" s="3" t="inlineStr">
        <is>
          <t>Gaming | Game AI Unleashed: From Finite State Machines to Machine Learning | AI Trends | Artificial Intelligence</t>
        </is>
      </c>
      <c r="I37" s="3" t="inlineStr">
        <is>
          <t>A practical overview of AI in game development for game developers, designers, producers, and readers tracking interactive systems.</t>
        </is>
      </c>
      <c r="J37" s="3" t="inlineStr">
        <is>
          <t>Suits readers who want to understand how AI changes game development in practice, especially game developers, designers, producers, and readers tracking interactive systems looking for grounded examples and fewer slogans.</t>
        </is>
      </c>
      <c r="K37" s="3" t="inlineStr">
        <is>
          <t>It shows where AI fits inside game development, what has to change underneath for it to work, where the risks hide, and which outcomes are realistic rather than merely well-marketed.</t>
        </is>
      </c>
      <c r="L37" s="3"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3" t="inlineStr">
        <is>
          <t>AI is not arriving in game development as a parlour trick. It changes how organisations handle player experience, balance, monetisation, and design complexity, so the boring details matter more than the slogans.</t>
        </is>
      </c>
      <c r="N37" s="3" t="inlineStr">
        <is>
          <t>Plain-English, practical, sceptical, no-hype</t>
        </is>
      </c>
      <c r="O37" s="3" t="inlineStr">
        <is>
          <t>Jonathan Harris</t>
        </is>
      </c>
      <c r="P37" s="3" t="inlineStr">
        <is>
          <t>JH-AI-EBOOK-25</t>
        </is>
      </c>
      <c r="Q37" s="3" t="inlineStr">
        <is>
          <t>29. Game AI Unleashed - From Finite State Machines to Machine Learning.pdf</t>
        </is>
      </c>
      <c r="R37" s="3" t="inlineStr">
        <is>
          <t>Game AI Unleashed: From Finite State Machines to Machine Learning</t>
        </is>
      </c>
      <c r="S37" s="3" t="inlineStr">
        <is>
          <t>Aligned</t>
        </is>
      </c>
      <c r="T37" s="3" t="inlineStr">
        <is>
          <t>B0DY18CYT6</t>
        </is>
      </c>
      <c r="U37" s="3" t="n">
        <v>344</v>
      </c>
      <c r="V37" s="36" t="n">
        <v>45708</v>
      </c>
      <c r="W37" s="3" t="inlineStr">
        <is>
          <t>https://jonathan-harris.online/ebooks/game-ai-unleashed-from-finite-state-machines-to-machine-learning/</t>
        </is>
      </c>
      <c r="X37" s="3" t="inlineStr">
        <is>
          <t>https://jonathan-harris.online/ebooks/game-ai-unleashed-from-finite-state-machines-to-machine-learning/buy-now</t>
        </is>
      </c>
      <c r="Y37" s="3" t="inlineStr">
        <is>
          <t>https://mybook.to/e7GozY6</t>
        </is>
      </c>
      <c r="Z37" s="3" t="inlineStr">
        <is>
          <t>https://images.jonathan-harris.online/ai-game-unleashed-finite-webp</t>
        </is>
      </c>
      <c r="AA37" s="3" t="inlineStr">
        <is>
          <t>https://jonathan-harris.online/book/game-ai-unleashed-from-finite-state-machines-to-machine-learning/buy-now</t>
        </is>
      </c>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c r="AA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c r="AA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c r="AA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c r="AA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c r="AA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c r="AA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c r="AA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c r="AA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c r="AA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c r="AA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c r="AA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c r="AA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c r="AA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c r="AA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c r="AA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c r="AA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c r="AA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c r="AA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c r="AA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c r="AA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c r="AA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c r="AA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c r="AA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c r="AA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c r="AA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c r="AA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c r="AA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c r="AA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c r="AA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c r="AA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c r="AA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c r="AA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c r="AA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c r="AA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c r="AA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c r="AA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c r="AA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c r="AA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c r="AA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c r="AA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c r="AA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c r="AA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c r="AA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c r="AA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c r="AA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c r="AA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c r="AA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c r="AA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c r="AA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c r="AA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c r="AA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c r="AA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c r="AA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c r="AA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c r="AA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c r="AA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c r="AA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c r="AA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c r="AA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c r="AA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c r="AA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c r="AA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c r="AA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c r="AA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c r="AA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c r="AA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c r="AA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c r="AA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c r="AA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c r="AA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c r="AA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c r="AA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c r="AA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c r="AA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c r="AA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c r="AA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c r="AA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c r="AA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c r="AA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c r="AA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c r="AA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c r="AA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c r="AA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c r="AA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c r="AA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c r="AA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c r="AA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c r="AA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c r="AA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c r="AA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c r="AA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c r="AA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c r="AA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c r="AA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c r="AA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c r="AA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c r="AA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c r="AA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c r="AA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c r="AA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c r="AA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c r="AA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c r="AA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c r="AA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c r="AA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c r="AA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c r="AA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c r="AA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c r="AA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c r="AA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c r="AA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c r="AA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c r="AA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c r="AA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c r="AA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c r="AA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c r="AA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c r="AA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c r="AA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c r="AA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c r="AA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c r="AA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c r="AA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c r="AA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c r="AA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c r="AA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c r="AA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c r="AA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c r="AA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c r="AA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c r="AA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c r="AA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c r="AA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c r="AA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c r="AA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c r="AA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c r="AA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c r="AA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c r="AA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c r="AA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c r="AA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c r="AA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c r="AA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c r="AA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c r="AA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c r="AA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c r="AA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c r="AA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c r="AA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c r="AA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c r="AA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c r="AA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c r="AA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c r="AA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c r="AA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c r="AA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c r="AA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c r="AA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c r="AA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c r="AA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c r="AA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c r="AA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c r="AA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c r="AA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c r="AA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c r="AA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c r="AA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c r="AA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c r="AA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c r="AA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c r="AA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c r="AA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c r="AA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c r="AA237" s="2"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2026-04-21T19:42:32Z</dcterms:modified>
</cp:coreProperties>
</file>